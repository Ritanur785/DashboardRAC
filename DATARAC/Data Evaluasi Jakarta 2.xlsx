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323" documentId="8_{CBB978E0-DA6C-437E-96CC-89A4C9D131CC}" xr6:coauthVersionLast="47" xr6:coauthVersionMax="47" xr10:uidLastSave="{CB6FF2FE-DDA5-4850-B970-6AE8BF8590B3}"/>
  <bookViews>
    <workbookView xWindow="-96" yWindow="0" windowWidth="11712" windowHeight="12336" firstSheet="2" activeTab="10" xr2:uid="{28B6D053-1D7F-4EEF-8978-633F77751EF4}"/>
  </bookViews>
  <sheets>
    <sheet name="STR" sheetId="5" r:id="rId1"/>
    <sheet name="Sosialisasi" sheetId="3" state="hidden" r:id="rId2"/>
    <sheet name="EDD PEP PPATK" sheetId="1" r:id="rId3"/>
    <sheet name="Bad Data" sheetId="9" r:id="rId4"/>
    <sheet name="Pengkinian Data" sheetId="2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11" l="1" a="1"/>
  <c r="C7" i="11" s="1"/>
  <c r="C7" i="10" a="1"/>
  <c r="C7" i="10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" i="9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" i="2"/>
  <c r="C6" i="10" s="1"/>
  <c r="E6" i="10" s="1"/>
  <c r="C5" i="11"/>
  <c r="C9" i="11"/>
  <c r="C12" i="11"/>
  <c r="C13" i="11"/>
  <c r="C14" i="11"/>
  <c r="E14" i="11"/>
  <c r="E13" i="11"/>
  <c r="E12" i="11"/>
  <c r="C11" i="11" a="1"/>
  <c r="C11" i="11" s="1"/>
  <c r="E11" i="11" s="1"/>
  <c r="C10" i="11" a="1"/>
  <c r="C10" i="11" s="1"/>
  <c r="E10" i="11" s="1"/>
  <c r="E9" i="11"/>
  <c r="C8" i="11" a="1"/>
  <c r="C8" i="11" s="1"/>
  <c r="E8" i="11" s="1"/>
  <c r="E7" i="11"/>
  <c r="E5" i="1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2" i="5"/>
  <c r="C4" i="11" s="1"/>
  <c r="E4" i="11" s="1"/>
  <c r="C9" i="10"/>
  <c r="E9" i="10" s="1"/>
  <c r="C12" i="10"/>
  <c r="C13" i="10"/>
  <c r="C14" i="10"/>
  <c r="C4" i="10"/>
  <c r="C5" i="10"/>
  <c r="E14" i="10"/>
  <c r="E13" i="10"/>
  <c r="E12" i="10"/>
  <c r="C11" i="10" a="1"/>
  <c r="C11" i="10" s="1"/>
  <c r="E11" i="10" s="1"/>
  <c r="C10" i="10" a="1"/>
  <c r="C10" i="10" s="1"/>
  <c r="E10" i="10" s="1"/>
  <c r="C8" i="10" a="1"/>
  <c r="C8" i="10" s="1"/>
  <c r="E8" i="10" s="1"/>
  <c r="E7" i="10"/>
  <c r="E5" i="10"/>
  <c r="E4" i="10"/>
  <c r="E3" i="2"/>
  <c r="E3" i="1"/>
  <c r="E2" i="8"/>
  <c r="E2" i="7"/>
  <c r="E2" i="6"/>
  <c r="A2" i="5" a="1"/>
  <c r="C6" i="11" l="1"/>
  <c r="E6" i="11" s="1"/>
  <c r="E15" i="11" s="1"/>
  <c r="E15" i="10"/>
  <c r="A2" i="5"/>
  <c r="E3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<sst xmlns="http://schemas.openxmlformats.org/spreadsheetml/2006/main" count="603" uniqueCount="174">
  <si>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</si>
  <si>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</si>
  <si>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</si>
  <si>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</si>
  <si>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</si>
  <si>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</si>
  <si>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</si>
  <si>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</si>
  <si>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</si>
  <si>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</si>
  <si>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</si>
  <si>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</si>
  <si>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</si>
  <si>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</si>
  <si>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</si>
  <si>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</si>
  <si>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</si>
  <si>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</si>
  <si>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</si>
  <si>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</si>
  <si>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</si>
  <si>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</si>
  <si>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</si>
  <si>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</si>
  <si>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Imelda Mayestika P.</t>
  </si>
  <si>
    <t>.</t>
  </si>
  <si>
    <t>No.</t>
  </si>
  <si>
    <t>Unit Kerja</t>
  </si>
  <si>
    <t>PIC RAC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</si>
  <si>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</si>
  <si>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</si>
  <si>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</si>
  <si>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</si>
  <si>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</si>
  <si>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</si>
  <si>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</si>
  <si>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</si>
  <si>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</si>
  <si>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</si>
  <si>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</si>
  <si>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</si>
  <si>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</si>
  <si>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</si>
  <si>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</si>
  <si>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</si>
  <si>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</si>
  <si>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</si>
  <si>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</si>
  <si>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</si>
  <si>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</si>
  <si>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</si>
  <si>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</si>
  <si>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</si>
  <si>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</si>
  <si>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</si>
  <si>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</si>
  <si>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</si>
  <si>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</si>
  <si>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</si>
  <si>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</si>
  <si>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</si>
  <si>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</si>
  <si>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</si>
  <si>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</si>
  <si>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</si>
  <si>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</si>
  <si>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</si>
  <si>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</si>
  <si>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%PEP TL Done</t>
  </si>
  <si>
    <t>Average</t>
  </si>
  <si>
    <t>KC Jakarta Mega Kuningan</t>
  </si>
  <si>
    <t>KC Bekasi</t>
  </si>
  <si>
    <t>KC Bekasi Harapan Indah</t>
  </si>
  <si>
    <t>KC Bogor</t>
  </si>
  <si>
    <t>KC Bogor Pajajaran</t>
  </si>
  <si>
    <t>KC Bursa Efek Indonesia</t>
  </si>
  <si>
    <t>KC Cibinong</t>
  </si>
  <si>
    <t>KC Cibubur</t>
  </si>
  <si>
    <t>KC Cikampek</t>
  </si>
  <si>
    <t>KC Cikarang</t>
  </si>
  <si>
    <t>KC Cimanggis</t>
  </si>
  <si>
    <t>KC Depok</t>
  </si>
  <si>
    <t>KC Ampera</t>
  </si>
  <si>
    <t>KC Lebak Bulus</t>
  </si>
  <si>
    <t>KC Jakarta Fatmawati</t>
  </si>
  <si>
    <t>KC Jakarta Gatot Subroto</t>
  </si>
  <si>
    <t>KC BRI Jakarta Menara Brilian</t>
  </si>
  <si>
    <t>KC Jakarta Kebayoran Baru</t>
  </si>
  <si>
    <t>KC Jakarta Pancoran</t>
  </si>
  <si>
    <t>KC Jakarta Panglima Polim</t>
  </si>
  <si>
    <t>KC Jakarta Pasar Minggu</t>
  </si>
  <si>
    <t>KC Jakarta Pondok Indah</t>
  </si>
  <si>
    <t>KC Jakarta Radio Dalam</t>
  </si>
  <si>
    <t>KC Jakarta TB Simatupang</t>
  </si>
  <si>
    <t>KC Jakarta Warung Buncit</t>
  </si>
  <si>
    <t>KC Karawang</t>
  </si>
  <si>
    <t>KC Mabes TNI Cilangkap</t>
  </si>
  <si>
    <t>KC Bekasi Siliwangi</t>
  </si>
  <si>
    <t>KC Pondok Gede</t>
  </si>
  <si>
    <t>KC Tambun</t>
  </si>
  <si>
    <t>KC Jakarta Rasuna Said</t>
  </si>
  <si>
    <t>KC Jakarta Sudirman 1</t>
  </si>
  <si>
    <t>%Bad Data</t>
  </si>
  <si>
    <t>%Pengkinian Data</t>
  </si>
  <si>
    <t>Rencana Pelaksanaan</t>
  </si>
  <si>
    <t>**https://bri2-my.sharepoint.com/:f:/g/personal/00136153_hq_bri_co_id/IgBxKKO1DH9aT6uDsEcjnb-IAZNDDDPCI811IL1T3q9k6mo?e=XntHQ3</t>
  </si>
  <si>
    <t>4.Kertas Kerja</t>
  </si>
  <si>
    <t>5. Laporan Uji Petik</t>
  </si>
  <si>
    <t>(sedang dalam tahap drafting laporan uji petik untuk BO Gatot Subroto, SBO Patra Jasa, dan SBO Telkom Landmark)</t>
  </si>
  <si>
    <t>Nilai maturitas</t>
  </si>
  <si>
    <t>Rating maturitas</t>
  </si>
  <si>
    <t>AB</t>
  </si>
  <si>
    <t>KC Bogor Dewi Sartika</t>
  </si>
  <si>
    <t>KC Bogor Padjajaran</t>
  </si>
  <si>
    <t>KC Jakarta Ampera</t>
  </si>
  <si>
    <t>KC Jakarta Lebak Bulus</t>
  </si>
  <si>
    <t>KC Jakarta Menara BRILiaN</t>
  </si>
  <si>
    <t>Nilai Risiko</t>
  </si>
  <si>
    <t>Nilai Risiko PIC</t>
  </si>
  <si>
    <t>Rating Risiko PIC</t>
  </si>
  <si>
    <t>BO Jakarta Mega Kuningan</t>
  </si>
  <si>
    <t>Medium to High</t>
  </si>
  <si>
    <t>BO Bekasi</t>
  </si>
  <si>
    <t>BO Bekasi Harapan Indah</t>
  </si>
  <si>
    <t>BO Bogor Dewi Sartika</t>
  </si>
  <si>
    <t>BO Bogor Padjajaran</t>
  </si>
  <si>
    <t>BO Bursa Efek Indonesia</t>
  </si>
  <si>
    <t>BO Cibinong</t>
  </si>
  <si>
    <t>BO Cibubur</t>
  </si>
  <si>
    <t>BO Cikampek</t>
  </si>
  <si>
    <t>BO Cikarang</t>
  </si>
  <si>
    <t>BO Cimanggis</t>
  </si>
  <si>
    <t>BO Depok</t>
  </si>
  <si>
    <t>BO Jakarta Ampera</t>
  </si>
  <si>
    <t>BO Jakarta Lebak Bulus</t>
  </si>
  <si>
    <t>BO Jakarta Fatmawati</t>
  </si>
  <si>
    <t>BO Jakarta Gatot Subroto</t>
  </si>
  <si>
    <t>BO Jakarta Menara BRILiaN</t>
  </si>
  <si>
    <t>BO Jakarta Kebayoran Baru</t>
  </si>
  <si>
    <t>BO Jakarta Pancoran</t>
  </si>
  <si>
    <t>BO Jakarta Panglima Polim</t>
  </si>
  <si>
    <t>BO Jakarta Pasar Minggu</t>
  </si>
  <si>
    <t>BO Jakarta Pondok Indah</t>
  </si>
  <si>
    <t>BO Jakarta Radio Dalam</t>
  </si>
  <si>
    <t>BO Jakarta TB Simatupang</t>
  </si>
  <si>
    <t>BO Jakarta Warung Buncit</t>
  </si>
  <si>
    <t>BO Karawang</t>
  </si>
  <si>
    <t>BO Mabes TNI Cilangkap</t>
  </si>
  <si>
    <t>BO Bekasi Siliwangi</t>
  </si>
  <si>
    <t>BO Pondok Gede</t>
  </si>
  <si>
    <t>BO Tambun</t>
  </si>
  <si>
    <t>BO Jakarta Rasuna Said</t>
  </si>
  <si>
    <t>BO Jakarta Sudirman 1</t>
  </si>
  <si>
    <t>Nilai Maturitas</t>
  </si>
  <si>
    <t>Nilai Maturitas PIC</t>
  </si>
  <si>
    <t>Rating Maturitas PIC</t>
  </si>
  <si>
    <t>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</si>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</sst>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4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3" fillId="0" borderId="3" xfId="0" applyNumberFormat="1" applyFont="1" applyBorder="1" applyAlignment="1">
      <alignment horizontal="left" vertical="center"/>
    </xf>
    <xf numFmtId="0" fontId="0" fillId="0" borderId="4" xfId="0" applyBorder="1"/>
    <xf numFmtId="1" fontId="3" fillId="0" borderId="4" xfId="0" applyNumberFormat="1" applyFont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/>
    <xf numFmtId="0" fontId="6" fillId="5" borderId="1" xfId="0" applyFont="1" applyFill="1" applyBorder="1"/>
    <xf numFmtId="0" fontId="6" fillId="0" borderId="1" xfId="0" applyFont="1" applyBorder="1"/>
    <xf numFmtId="164" fontId="8" fillId="0" borderId="1" xfId="0" applyNumberFormat="1" applyFont="1" applyBorder="1"/>
    <xf numFmtId="15" fontId="1" fillId="2" borderId="7" xfId="0" applyNumberFormat="1" applyFont="1" applyFill="1" applyBorder="1"/>
    <xf numFmtId="15" fontId="1" fillId="2" borderId="8" xfId="0" applyNumberFormat="1" applyFont="1" applyFill="1" applyBorder="1"/>
    <xf numFmtId="0" fontId="0" fillId="0" borderId="8" xfId="0" applyBorder="1"/>
    <xf numFmtId="15" fontId="1" fillId="2" borderId="9" xfId="0" applyNumberFormat="1" applyFont="1" applyFill="1" applyBorder="1"/>
    <xf numFmtId="15" fontId="1" fillId="2" borderId="10" xfId="0" applyNumberFormat="1" applyFont="1" applyFill="1" applyBorder="1"/>
    <xf numFmtId="9" fontId="8" fillId="0" borderId="3" xfId="0" applyNumberFormat="1" applyFont="1" applyBorder="1" applyAlignment="1">
      <alignment vertical="center"/>
    </xf>
    <xf numFmtId="10" fontId="8" fillId="0" borderId="3" xfId="1" applyNumberFormat="1" applyFont="1" applyBorder="1" applyAlignment="1">
      <alignment vertical="center"/>
    </xf>
    <xf numFmtId="0" fontId="11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left" vertical="center"/>
    </xf>
    <xf numFmtId="164" fontId="11" fillId="0" borderId="3" xfId="0" applyNumberFormat="1" applyFont="1" applyBorder="1" applyAlignment="1">
      <alignment horizontal="center"/>
    </xf>
    <xf numFmtId="9" fontId="11" fillId="0" borderId="3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left" vertical="center"/>
    </xf>
    <xf numFmtId="164" fontId="11" fillId="0" borderId="10" xfId="0" applyNumberFormat="1" applyFont="1" applyBorder="1" applyAlignment="1">
      <alignment horizontal="center"/>
    </xf>
    <xf numFmtId="9" fontId="11" fillId="0" borderId="10" xfId="0" applyNumberFormat="1" applyFont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10" fontId="12" fillId="7" borderId="3" xfId="0" applyNumberFormat="1" applyFont="1" applyFill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5" fontId="1" fillId="2" borderId="2" xfId="0" applyNumberFormat="1" applyFont="1" applyFill="1" applyBorder="1" applyAlignment="1">
      <alignment horizontal="center"/>
    </xf>
    <xf numFmtId="10" fontId="8" fillId="0" borderId="11" xfId="1" applyNumberFormat="1" applyFont="1" applyBorder="1" applyAlignment="1">
      <alignment horizontal="center" vertical="center"/>
    </xf>
    <xf numFmtId="10" fontId="8" fillId="0" borderId="12" xfId="1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9" fontId="8" fillId="0" borderId="11" xfId="0" applyNumberFormat="1" applyFont="1" applyBorder="1" applyAlignment="1">
      <alignment horizontal="center" vertical="center"/>
    </xf>
    <xf numFmtId="9" fontId="8" fillId="0" borderId="12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RAC%20Team/Moneva%20Update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7%20-%20Jakarta%202/Data%20Evaluasi%20Jakarta%202.xlsx" TargetMode="External"/><Relationship Id="rId2" Type="http://schemas.openxmlformats.org/officeDocument/2006/relationships/externalLinkPath" Target="https://bri2-my.sharepoint.com/personal/00136153_hq_bri_co_id/Documents/Assurance%20Team/RAC%20Team/Moneva/Region%207%20-%20Jakarta%202/Data%20Evaluasi%20Jakarta%202.xlsx" TargetMode="External"/><Relationship Id="rId1" Type="http://schemas.openxmlformats.org/officeDocument/2006/relationships/externalLinkPath" Target="/personal/00136153_hq_bri_co_id/Documents/Assurance%20Team/RAC%20Team/Moneva/Region%207%20-%20Jakarta%202/Data%20Evaluasi%20Jakart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RVKC4TFD42ANGJQG7HVZQKBPP3">
      <xxl21:absoluteUrl r:id="rId2"/>
    </xxl21:alternateUrls>
    <sheetNames>
      <sheetName val="Sosialisasi"/>
      <sheetName val="Nilai Self Learning"/>
      <sheetName val="Kepesertaan Self Learning"/>
      <sheetName val="Sheet3"/>
      <sheetName val="Sheet2 (3)"/>
      <sheetName val="Sheet2 (2)"/>
      <sheetName val="Sheet1"/>
      <sheetName val="Sheet2"/>
      <sheetName val="Pengkinian Data"/>
      <sheetName val="Bad Data"/>
      <sheetName val="PEP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0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0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2">
          <cell r="C2" t="str">
            <v>Andi Faisal Putra</v>
          </cell>
          <cell r="D2">
            <v>95.105999999999995</v>
          </cell>
        </row>
        <row r="3">
          <cell r="C3" t="str">
            <v>Andi Faisal Putra</v>
          </cell>
          <cell r="D3">
            <v>95</v>
          </cell>
        </row>
        <row r="4">
          <cell r="C4" t="str">
            <v>Andi Faisal Putra</v>
          </cell>
          <cell r="D4">
            <v>95.028999999999996</v>
          </cell>
        </row>
        <row r="5">
          <cell r="C5" t="str">
            <v>Andi Faisal Putra</v>
          </cell>
          <cell r="D5">
            <v>93.069000000000003</v>
          </cell>
        </row>
        <row r="6">
          <cell r="C6" t="str">
            <v>Andi Faisal Putra</v>
          </cell>
          <cell r="D6">
            <v>93.837999999999994</v>
          </cell>
        </row>
        <row r="7">
          <cell r="C7" t="str">
            <v>Andi Faisal Putra</v>
          </cell>
          <cell r="D7">
            <v>91.29</v>
          </cell>
        </row>
        <row r="8">
          <cell r="C8" t="str">
            <v>Andi Faisal Putra</v>
          </cell>
          <cell r="D8">
            <v>93.596000000000004</v>
          </cell>
        </row>
        <row r="9">
          <cell r="C9" t="str">
            <v>Andi Faisal Putra</v>
          </cell>
          <cell r="D9">
            <v>93.037999999999997</v>
          </cell>
        </row>
        <row r="10">
          <cell r="C10" t="str">
            <v>Andi Faisal Putra</v>
          </cell>
          <cell r="D10">
            <v>90.263000000000005</v>
          </cell>
        </row>
        <row r="11">
          <cell r="C11" t="str">
            <v>Andi Faisal Putra</v>
          </cell>
          <cell r="D11">
            <v>94.325999999999993</v>
          </cell>
        </row>
        <row r="12">
          <cell r="C12" t="str">
            <v>Andi Perkasa</v>
          </cell>
          <cell r="D12">
            <v>98.2</v>
          </cell>
        </row>
        <row r="13">
          <cell r="C13" t="str">
            <v>Andi Perkasa</v>
          </cell>
          <cell r="D13">
            <v>92.463999999999999</v>
          </cell>
        </row>
        <row r="14">
          <cell r="C14" t="str">
            <v>Andi Perkasa</v>
          </cell>
          <cell r="D14">
            <v>92.822999999999993</v>
          </cell>
        </row>
        <row r="15">
          <cell r="C15" t="str">
            <v>Andi Perkasa</v>
          </cell>
          <cell r="D15">
            <v>94.028000000000006</v>
          </cell>
        </row>
        <row r="16">
          <cell r="C16" t="str">
            <v>Andi Perkasa</v>
          </cell>
          <cell r="D16">
            <v>96.387</v>
          </cell>
        </row>
        <row r="17">
          <cell r="C17" t="str">
            <v>Andi Perkasa</v>
          </cell>
          <cell r="D17">
            <v>74</v>
          </cell>
        </row>
        <row r="18">
          <cell r="C18" t="str">
            <v>Andi Perkasa</v>
          </cell>
          <cell r="D18">
            <v>94.962000000000003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94.358999999999995</v>
          </cell>
        </row>
        <row r="21">
          <cell r="C21" t="str">
            <v>Janse Paburru</v>
          </cell>
          <cell r="D21">
            <v>92.650602410000005</v>
          </cell>
        </row>
        <row r="22">
          <cell r="C22" t="str">
            <v>Janse Paburru</v>
          </cell>
          <cell r="D22">
            <v>91.41</v>
          </cell>
        </row>
        <row r="23">
          <cell r="C23" t="str">
            <v>Janse Paburru</v>
          </cell>
          <cell r="D23">
            <v>95.798000000000002</v>
          </cell>
        </row>
        <row r="24">
          <cell r="C24" t="str">
            <v>Janse Paburru</v>
          </cell>
          <cell r="D24">
            <v>95.516999999999996</v>
          </cell>
        </row>
        <row r="25">
          <cell r="C25" t="str">
            <v>Janse Paburru</v>
          </cell>
          <cell r="D25">
            <v>92.891000000000005</v>
          </cell>
        </row>
        <row r="26">
          <cell r="C26" t="str">
            <v>Janse Paburru</v>
          </cell>
          <cell r="D26">
            <v>94.932000000000002</v>
          </cell>
        </row>
        <row r="27">
          <cell r="C27" t="str">
            <v>Janse Paburru</v>
          </cell>
          <cell r="D27">
            <v>93.582999999999998</v>
          </cell>
        </row>
        <row r="28">
          <cell r="C28" t="str">
            <v>Janse Paburru</v>
          </cell>
          <cell r="D28">
            <v>98.387</v>
          </cell>
        </row>
        <row r="29">
          <cell r="C29" t="str">
            <v>M Sardi Rampo</v>
          </cell>
          <cell r="D29">
            <v>96.613</v>
          </cell>
        </row>
        <row r="30">
          <cell r="C30" t="str">
            <v>M Sardi Rampo</v>
          </cell>
          <cell r="D30">
            <v>93.905000000000001</v>
          </cell>
        </row>
        <row r="31">
          <cell r="C31" t="str">
            <v>M Sardi Rampo</v>
          </cell>
          <cell r="D31">
            <v>93.355000000000004</v>
          </cell>
        </row>
        <row r="32">
          <cell r="C32" t="str">
            <v>M Sardi Rampo</v>
          </cell>
          <cell r="D32">
            <v>94.563000000000002</v>
          </cell>
        </row>
        <row r="33">
          <cell r="C33" t="str">
            <v>M Sardi Rampo</v>
          </cell>
          <cell r="D33">
            <v>93.617000000000004</v>
          </cell>
        </row>
        <row r="34">
          <cell r="C34" t="str">
            <v>M Sardi Rampo</v>
          </cell>
          <cell r="D34">
            <v>93.611000000000004</v>
          </cell>
        </row>
        <row r="35">
          <cell r="C35" t="str">
            <v>M Sardi Rampo</v>
          </cell>
          <cell r="D35">
            <v>95.052000000000007</v>
          </cell>
        </row>
        <row r="36">
          <cell r="C36" t="str">
            <v>M Sardi Rampo</v>
          </cell>
          <cell r="D36">
            <v>95.253</v>
          </cell>
        </row>
        <row r="37">
          <cell r="C37" t="str">
            <v>M Sardi Rampo</v>
          </cell>
          <cell r="D37">
            <v>94.344999999999999</v>
          </cell>
        </row>
        <row r="38">
          <cell r="C38" t="str">
            <v>M Sardi Rampo</v>
          </cell>
          <cell r="D38">
            <v>94.643000000000001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96.424000000000007</v>
          </cell>
        </row>
        <row r="41">
          <cell r="C41" t="str">
            <v>Ariyanto B</v>
          </cell>
          <cell r="D41">
            <v>96.305999999999997</v>
          </cell>
        </row>
        <row r="42">
          <cell r="C42" t="str">
            <v>Ariyanto B</v>
          </cell>
          <cell r="D42">
            <v>98.807000000000002</v>
          </cell>
        </row>
        <row r="43">
          <cell r="C43" t="str">
            <v>Ariyanto B</v>
          </cell>
          <cell r="D43">
            <v>97.924999999999997</v>
          </cell>
        </row>
        <row r="44">
          <cell r="C44" t="str">
            <v>Ariyanto B</v>
          </cell>
          <cell r="D44">
            <v>97.935000000000002</v>
          </cell>
        </row>
        <row r="45">
          <cell r="C45" t="str">
            <v>Ariyanto B</v>
          </cell>
          <cell r="D45">
            <v>98.355999999999995</v>
          </cell>
        </row>
        <row r="46">
          <cell r="C46" t="str">
            <v>Ariyanto B</v>
          </cell>
          <cell r="D46">
            <v>96.706000000000003</v>
          </cell>
        </row>
        <row r="47">
          <cell r="C47" t="str">
            <v>Ryan Fabella Lisa</v>
          </cell>
          <cell r="D47">
            <v>98.078999999999994</v>
          </cell>
        </row>
        <row r="48">
          <cell r="C48" t="str">
            <v>Ryan Fabella Lisa</v>
          </cell>
          <cell r="D48">
            <v>97.707999999999998</v>
          </cell>
        </row>
        <row r="49">
          <cell r="C49" t="str">
            <v>Ryan Fabella Lisa</v>
          </cell>
          <cell r="D49">
            <v>97.045000000000002</v>
          </cell>
        </row>
        <row r="50">
          <cell r="C50" t="str">
            <v>Ryan Fabella Lisa</v>
          </cell>
          <cell r="D50">
            <v>98.765000000000001</v>
          </cell>
        </row>
        <row r="51">
          <cell r="C51" t="str">
            <v>Ryan Fabella Lisa</v>
          </cell>
          <cell r="D51">
            <v>97.902000000000001</v>
          </cell>
        </row>
        <row r="52">
          <cell r="C52" t="str">
            <v>Ryan Fabella Lisa</v>
          </cell>
          <cell r="D52">
            <v>97.382999999999996</v>
          </cell>
        </row>
        <row r="53">
          <cell r="C53" t="str">
            <v>Ryan Fabella Lisa</v>
          </cell>
          <cell r="D53">
            <v>97.350999999999999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98.396946560000004</v>
          </cell>
        </row>
        <row r="56">
          <cell r="C56" t="str">
            <v>Rinaldi Wicaksana</v>
          </cell>
          <cell r="D56">
            <v>95.897000000000006</v>
          </cell>
        </row>
        <row r="57">
          <cell r="C57" t="str">
            <v>Rinaldi Wicaksana</v>
          </cell>
          <cell r="D57">
            <v>95.531999999999996</v>
          </cell>
        </row>
        <row r="58">
          <cell r="C58" t="str">
            <v>Rinaldi Wicaksana</v>
          </cell>
          <cell r="D58">
            <v>97.284000000000006</v>
          </cell>
        </row>
        <row r="59">
          <cell r="C59" t="str">
            <v>Rinaldi Wicaksana</v>
          </cell>
          <cell r="D59">
            <v>96</v>
          </cell>
        </row>
        <row r="60">
          <cell r="C60" t="str">
            <v>Rinaldi Wicaksana</v>
          </cell>
          <cell r="D60">
            <v>96.832999999999998</v>
          </cell>
        </row>
        <row r="61">
          <cell r="C61" t="str">
            <v>Rinaldi Wicaksana</v>
          </cell>
          <cell r="D61">
            <v>96.667000000000002</v>
          </cell>
        </row>
        <row r="62">
          <cell r="C62" t="str">
            <v>Rinaldi Wicaksana</v>
          </cell>
          <cell r="D62">
            <v>98.510999999999996</v>
          </cell>
        </row>
        <row r="63">
          <cell r="C63" t="str">
            <v>Rinaldi Wicaksana</v>
          </cell>
          <cell r="D63">
            <v>98.772000000000006</v>
          </cell>
        </row>
        <row r="64">
          <cell r="C64" t="str">
            <v>Rinaldi Wicaksana</v>
          </cell>
          <cell r="D64">
            <v>94.736999999999995</v>
          </cell>
        </row>
        <row r="65">
          <cell r="C65" t="str">
            <v>Rinaldi Wicaksana</v>
          </cell>
          <cell r="D65">
            <v>97.644000000000005</v>
          </cell>
        </row>
        <row r="66">
          <cell r="C66" t="str">
            <v>Rinaldi Wicaksana</v>
          </cell>
          <cell r="D66">
            <v>98.117999999999995</v>
          </cell>
        </row>
        <row r="67">
          <cell r="C67" t="str">
            <v>Rinaldi Wicaksana</v>
          </cell>
          <cell r="D67">
            <v>97.546999999999997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96.887</v>
          </cell>
        </row>
        <row r="71">
          <cell r="C71" t="str">
            <v>Imelda Mayestika P.</v>
          </cell>
          <cell r="D71">
            <v>90.4</v>
          </cell>
        </row>
        <row r="72">
          <cell r="C72" t="str">
            <v>Imelda Mayestika P.</v>
          </cell>
          <cell r="D72">
            <v>96.305999999999997</v>
          </cell>
        </row>
        <row r="73">
          <cell r="C73" t="str">
            <v>Imelda Mayestika P.</v>
          </cell>
          <cell r="D73">
            <v>96.466999999999999</v>
          </cell>
        </row>
        <row r="74">
          <cell r="C74" t="str">
            <v>Imelda Mayestika P.</v>
          </cell>
          <cell r="D74">
            <v>93.332999999999998</v>
          </cell>
        </row>
        <row r="75">
          <cell r="C75" t="str">
            <v>Imelda Mayestika P.</v>
          </cell>
          <cell r="D75">
            <v>95.631</v>
          </cell>
        </row>
        <row r="76">
          <cell r="C76" t="str">
            <v>Imelda Mayestika P.</v>
          </cell>
          <cell r="D76">
            <v>92.638000000000005</v>
          </cell>
        </row>
        <row r="77">
          <cell r="C77" t="str">
            <v>Imelda Mayestika P.</v>
          </cell>
          <cell r="D77">
            <v>96.870999999999995</v>
          </cell>
        </row>
        <row r="78">
          <cell r="C78" t="str">
            <v>Imelda Mayestika P.</v>
          </cell>
          <cell r="D78">
            <v>95.096000000000004</v>
          </cell>
        </row>
        <row r="79">
          <cell r="C79" t="str">
            <v>Imelda Mayestika P.</v>
          </cell>
          <cell r="D79">
            <v>93.584999999999994</v>
          </cell>
        </row>
        <row r="80">
          <cell r="C80" t="str">
            <v>Imelda Mayestika P.</v>
          </cell>
          <cell r="D80">
            <v>94.65</v>
          </cell>
        </row>
        <row r="81">
          <cell r="C81" t="str">
            <v>Imelda Mayestika P.</v>
          </cell>
          <cell r="D81">
            <v>95.143000000000001</v>
          </cell>
        </row>
        <row r="82">
          <cell r="C82" t="str">
            <v>Imelda Mayestika P.</v>
          </cell>
          <cell r="D82">
            <v>94.167000000000002</v>
          </cell>
        </row>
        <row r="83">
          <cell r="C83" t="str">
            <v>Imelda Mayestika P.</v>
          </cell>
          <cell r="D83">
            <v>93.332999999999998</v>
          </cell>
        </row>
        <row r="84">
          <cell r="C84" t="str">
            <v>Imelda Mayestika P.</v>
          </cell>
          <cell r="D84">
            <v>98.706000000000003</v>
          </cell>
        </row>
        <row r="85">
          <cell r="C85" t="str">
            <v>Imelda Mayestika P.</v>
          </cell>
          <cell r="D85">
            <v>97.872</v>
          </cell>
        </row>
        <row r="86">
          <cell r="C86" t="str">
            <v>Imelda Mayestika P.</v>
          </cell>
          <cell r="D86">
            <v>95.647000000000006</v>
          </cell>
        </row>
        <row r="87">
          <cell r="C87" t="str">
            <v>Imelda Mayestika P.</v>
          </cell>
          <cell r="D87">
            <v>95.152000000000001</v>
          </cell>
        </row>
        <row r="88">
          <cell r="C88" t="str">
            <v>Imelda Mayestika P.</v>
          </cell>
          <cell r="D88">
            <v>94.545000000000002</v>
          </cell>
        </row>
        <row r="89">
          <cell r="C89" t="str">
            <v>Imelda Mayestika P.</v>
          </cell>
          <cell r="D89">
            <v>93</v>
          </cell>
        </row>
        <row r="90">
          <cell r="C90" t="str">
            <v>Imelda Mayestika P.</v>
          </cell>
          <cell r="D90">
            <v>91.403999999999996</v>
          </cell>
        </row>
        <row r="91">
          <cell r="C91" t="str">
            <v>Imelda Mayestika P.</v>
          </cell>
          <cell r="D91">
            <v>93.984999999999999</v>
          </cell>
        </row>
        <row r="92">
          <cell r="C92" t="str">
            <v>Imelda Mayestika P.</v>
          </cell>
          <cell r="D92">
            <v>99.412000000000006</v>
          </cell>
        </row>
        <row r="93">
          <cell r="C93" t="str">
            <v>Imelda Mayestika P.</v>
          </cell>
          <cell r="D93">
            <v>96.296000000000006</v>
          </cell>
        </row>
        <row r="94">
          <cell r="C94" t="str">
            <v>Imelda Mayestika P.</v>
          </cell>
          <cell r="D94">
            <v>96.477000000000004</v>
          </cell>
        </row>
        <row r="95">
          <cell r="C95" t="str">
            <v>Imelda Mayestika P.</v>
          </cell>
          <cell r="D95">
            <v>97.406999999999996</v>
          </cell>
        </row>
        <row r="96">
          <cell r="C96" t="str">
            <v>Imelda Mayestika P.</v>
          </cell>
          <cell r="D96">
            <v>95.671999999999997</v>
          </cell>
        </row>
        <row r="97">
          <cell r="C97" t="str">
            <v>Imelda Mayestika P.</v>
          </cell>
          <cell r="D97">
            <v>97.278000000000006</v>
          </cell>
        </row>
        <row r="98">
          <cell r="C98" t="str">
            <v>Imelda Mayestika P.</v>
          </cell>
          <cell r="D98">
            <v>97.072000000000003</v>
          </cell>
        </row>
        <row r="99">
          <cell r="C99" t="str">
            <v>Imelda Mayestika P.</v>
          </cell>
          <cell r="D99">
            <v>90.274000000000001</v>
          </cell>
        </row>
        <row r="100">
          <cell r="C100" t="str">
            <v>Imelda Mayestika P.</v>
          </cell>
          <cell r="D100">
            <v>94.138000000000005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96.905000000000001</v>
          </cell>
        </row>
        <row r="104">
          <cell r="C104" t="str">
            <v>I Made Budiartha</v>
          </cell>
          <cell r="D104">
            <v>95.447000000000003</v>
          </cell>
        </row>
        <row r="105">
          <cell r="C105" t="str">
            <v>Dewa Nyoman Wedana</v>
          </cell>
          <cell r="D105">
            <v>94.465999999999994</v>
          </cell>
        </row>
        <row r="106">
          <cell r="C106" t="str">
            <v>Dewa Nyoman Wedana</v>
          </cell>
          <cell r="D106">
            <v>97.823999999999998</v>
          </cell>
        </row>
        <row r="107">
          <cell r="C107" t="str">
            <v>Ida Bagus Pidada Manuaba</v>
          </cell>
          <cell r="D107">
            <v>98.582999999999998</v>
          </cell>
        </row>
        <row r="108">
          <cell r="C108" t="str">
            <v>Ida Bagus Pidada Manuaba</v>
          </cell>
          <cell r="D108">
            <v>96.718000000000004</v>
          </cell>
        </row>
        <row r="109">
          <cell r="C109" t="str">
            <v>Dewa Nyoman Wedana</v>
          </cell>
          <cell r="D109">
            <v>96.852000000000004</v>
          </cell>
        </row>
        <row r="110">
          <cell r="C110" t="str">
            <v>I Made Budiartha</v>
          </cell>
          <cell r="D110">
            <v>95.965999999999994</v>
          </cell>
        </row>
        <row r="111">
          <cell r="C111" t="str">
            <v>I Made Budiartha</v>
          </cell>
          <cell r="D111">
            <v>97.957999999999998</v>
          </cell>
        </row>
        <row r="112">
          <cell r="C112" t="str">
            <v>Dewa Nyoman Wedana</v>
          </cell>
          <cell r="D112">
            <v>99.245000000000005</v>
          </cell>
        </row>
        <row r="113">
          <cell r="C113" t="str">
            <v>Dewa Nyoman Wedana</v>
          </cell>
          <cell r="D113">
            <v>98.481999999999999</v>
          </cell>
        </row>
        <row r="114">
          <cell r="C114" t="str">
            <v>I Made Budiartha</v>
          </cell>
          <cell r="D114">
            <v>94.417000000000002</v>
          </cell>
        </row>
        <row r="115">
          <cell r="C115" t="str">
            <v>I Made Budiartha</v>
          </cell>
          <cell r="D115">
            <v>96.721000000000004</v>
          </cell>
        </row>
        <row r="116">
          <cell r="C116" t="str">
            <v>I Made Budiartha</v>
          </cell>
          <cell r="D116">
            <v>93.926000000000002</v>
          </cell>
        </row>
        <row r="117">
          <cell r="C117" t="str">
            <v>Ida Bagus Pidada Manuaba</v>
          </cell>
          <cell r="D117">
            <v>98.376999999999995</v>
          </cell>
        </row>
        <row r="118">
          <cell r="C118" t="str">
            <v>Ida Bagus Pidada Manuaba</v>
          </cell>
          <cell r="D118">
            <v>95.757999999999996</v>
          </cell>
        </row>
        <row r="119">
          <cell r="C119" t="str">
            <v>I Made Budiartha</v>
          </cell>
          <cell r="D119">
            <v>97.980999999999995</v>
          </cell>
        </row>
        <row r="120">
          <cell r="C120" t="str">
            <v>Dewa Nyoman Wedana</v>
          </cell>
          <cell r="D120">
            <v>96.37</v>
          </cell>
        </row>
        <row r="121">
          <cell r="C121" t="str">
            <v>Ida Bagus Pidada Manuaba</v>
          </cell>
          <cell r="D121">
            <v>98.272000000000006</v>
          </cell>
        </row>
        <row r="122">
          <cell r="C122" t="str">
            <v>Dewa Nyoman Wedana</v>
          </cell>
          <cell r="D122">
            <v>96.906999999999996</v>
          </cell>
        </row>
        <row r="123">
          <cell r="C123" t="str">
            <v>I Made Budiartha</v>
          </cell>
          <cell r="D123">
            <v>97.15</v>
          </cell>
        </row>
        <row r="124">
          <cell r="C124" t="str">
            <v>I Made Budiartha</v>
          </cell>
          <cell r="D124">
            <v>95.289000000000001</v>
          </cell>
        </row>
        <row r="125">
          <cell r="C125" t="str">
            <v>Ida Bagus Pidada Manuaba</v>
          </cell>
          <cell r="D125">
            <v>97.849000000000004</v>
          </cell>
        </row>
        <row r="126">
          <cell r="C126" t="str">
            <v>I Made Budiartha</v>
          </cell>
          <cell r="D126">
            <v>94.713999999999999</v>
          </cell>
        </row>
        <row r="127">
          <cell r="C127" t="str">
            <v>I Made Budiartha</v>
          </cell>
          <cell r="D127">
            <v>97.722999999999999</v>
          </cell>
        </row>
        <row r="128">
          <cell r="C128" t="str">
            <v>Dewa Nyoman Wedana</v>
          </cell>
          <cell r="D128">
            <v>98.162999999999997</v>
          </cell>
        </row>
        <row r="129">
          <cell r="C129" t="str">
            <v>I Made Budiartha</v>
          </cell>
          <cell r="D129">
            <v>98.182000000000002</v>
          </cell>
        </row>
        <row r="130">
          <cell r="C130" t="str">
            <v>Dewa Nyoman Wedana</v>
          </cell>
          <cell r="D130">
            <v>98.793000000000006</v>
          </cell>
        </row>
        <row r="131">
          <cell r="C131" t="str">
            <v>Dewa Nyoman Wedana</v>
          </cell>
          <cell r="D131">
            <v>98.522999999999996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99.117999999999995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97.867000000000004</v>
          </cell>
        </row>
        <row r="136">
          <cell r="C136" t="str">
            <v>Boby Sukmawijaya</v>
          </cell>
          <cell r="D136">
            <v>95.656999999999996</v>
          </cell>
        </row>
        <row r="137">
          <cell r="C137" t="str">
            <v>Boby Sukmawijaya</v>
          </cell>
          <cell r="D137">
            <v>95.388000000000005</v>
          </cell>
        </row>
        <row r="138">
          <cell r="C138" t="str">
            <v>Boby Sukmawijaya</v>
          </cell>
          <cell r="D138">
            <v>94.423000000000002</v>
          </cell>
        </row>
        <row r="139">
          <cell r="C139" t="str">
            <v>Boby Sukmawijaya</v>
          </cell>
          <cell r="D139">
            <v>99.123999999999995</v>
          </cell>
        </row>
        <row r="140">
          <cell r="C140" t="str">
            <v>Boby Sukmawijaya</v>
          </cell>
          <cell r="D140">
            <v>95.855999999999995</v>
          </cell>
        </row>
        <row r="141">
          <cell r="C141" t="str">
            <v>Boby Sukmawijaya</v>
          </cell>
          <cell r="D141">
            <v>95.739000000000004</v>
          </cell>
        </row>
        <row r="142">
          <cell r="C142" t="str">
            <v>Boby Sukmawijaya</v>
          </cell>
          <cell r="D142">
            <v>98.605000000000004</v>
          </cell>
        </row>
        <row r="143">
          <cell r="C143" t="str">
            <v>Boby Sukmawijaya</v>
          </cell>
          <cell r="D143">
            <v>95.887</v>
          </cell>
        </row>
        <row r="144">
          <cell r="C144" t="str">
            <v>Boby Sukmawijaya</v>
          </cell>
          <cell r="D144">
            <v>99.468000000000004</v>
          </cell>
        </row>
        <row r="145">
          <cell r="C145" t="str">
            <v>Boby Sukmawijaya</v>
          </cell>
          <cell r="D145">
            <v>92.36</v>
          </cell>
        </row>
        <row r="146">
          <cell r="C146" t="str">
            <v>Boby Sukmawijaya</v>
          </cell>
          <cell r="D146">
            <v>96.134</v>
          </cell>
        </row>
        <row r="147">
          <cell r="C147" t="str">
            <v>Boby Sukmawijaya</v>
          </cell>
          <cell r="D147">
            <v>95.055999999999997</v>
          </cell>
        </row>
        <row r="148">
          <cell r="C148" t="str">
            <v>Boby Sukmawijaya</v>
          </cell>
          <cell r="D148">
            <v>94.8</v>
          </cell>
        </row>
        <row r="149">
          <cell r="C149" t="str">
            <v>Boby Sukmawijaya</v>
          </cell>
          <cell r="D149">
            <v>94.215999999999994</v>
          </cell>
        </row>
        <row r="150">
          <cell r="C150" t="str">
            <v>Boby Sukmawijaya</v>
          </cell>
          <cell r="D150">
            <v>98.903999999999996</v>
          </cell>
        </row>
        <row r="151">
          <cell r="C151" t="str">
            <v>Boby Sukmawijaya</v>
          </cell>
          <cell r="D151">
            <v>95.335999999999999</v>
          </cell>
        </row>
        <row r="152">
          <cell r="C152" t="str">
            <v>Boby Sukmawijaya</v>
          </cell>
          <cell r="D152">
            <v>98.623000000000005</v>
          </cell>
        </row>
        <row r="153">
          <cell r="C153" t="str">
            <v>Boby Sukmawijaya</v>
          </cell>
          <cell r="D153">
            <v>92.272999999999996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97.394999999999996</v>
          </cell>
        </row>
        <row r="156">
          <cell r="C156" t="str">
            <v>Boby Sukmawijaya</v>
          </cell>
          <cell r="D156">
            <v>97.727000000000004</v>
          </cell>
        </row>
        <row r="157">
          <cell r="C157" t="str">
            <v>Boby Sukmawijaya</v>
          </cell>
          <cell r="D157">
            <v>96.858999999999995</v>
          </cell>
        </row>
        <row r="158">
          <cell r="C158" t="str">
            <v>Boby Sukmawijaya</v>
          </cell>
          <cell r="D158">
            <v>96.983000000000004</v>
          </cell>
        </row>
        <row r="159">
          <cell r="C159" t="str">
            <v>Boby Sukmawijaya</v>
          </cell>
          <cell r="D159">
            <v>97.831000000000003</v>
          </cell>
        </row>
        <row r="160">
          <cell r="C160" t="str">
            <v>Boby Sukmawijaya</v>
          </cell>
          <cell r="D160">
            <v>96.739000000000004</v>
          </cell>
        </row>
        <row r="161">
          <cell r="C161" t="str">
            <v>Boby Sukmawijaya</v>
          </cell>
          <cell r="D161">
            <v>97.703000000000003</v>
          </cell>
        </row>
        <row r="162">
          <cell r="C162" t="str">
            <v>Boby Sukmawijaya</v>
          </cell>
          <cell r="D162">
            <v>97.614000000000004</v>
          </cell>
        </row>
        <row r="163">
          <cell r="C163" t="str">
            <v>Boby Sukmawijaya</v>
          </cell>
          <cell r="D163">
            <v>96.837999999999994</v>
          </cell>
        </row>
        <row r="164">
          <cell r="C164" t="str">
            <v>Boby Sukmawijaya</v>
          </cell>
          <cell r="D164">
            <v>96.691000000000003</v>
          </cell>
        </row>
        <row r="165">
          <cell r="C165" t="str">
            <v>Boby Sukmawijaya</v>
          </cell>
          <cell r="D165">
            <v>97.944000000000003</v>
          </cell>
        </row>
        <row r="166">
          <cell r="C166" t="str">
            <v>Boby Sukmawijaya</v>
          </cell>
          <cell r="D166">
            <v>94.367999999999995</v>
          </cell>
        </row>
        <row r="167">
          <cell r="C167" t="str">
            <v>Boby Sukmawijaya</v>
          </cell>
          <cell r="D167">
            <v>97.664000000000001</v>
          </cell>
        </row>
        <row r="168">
          <cell r="C168" t="str">
            <v>Boby Sukmawijaya</v>
          </cell>
          <cell r="D168">
            <v>96.444000000000003</v>
          </cell>
        </row>
        <row r="169">
          <cell r="C169" t="str">
            <v>Boby Sukmawijaya</v>
          </cell>
          <cell r="D169">
            <v>95.57</v>
          </cell>
        </row>
        <row r="170">
          <cell r="C170" t="str">
            <v>Boby Sukmawijaya</v>
          </cell>
          <cell r="D170">
            <v>98.688999999999993</v>
          </cell>
        </row>
        <row r="171">
          <cell r="C171" t="str">
            <v>Boby Sukmawijaya</v>
          </cell>
          <cell r="D171">
            <v>95.289000000000001</v>
          </cell>
        </row>
        <row r="172">
          <cell r="C172" t="str">
            <v>Boby Sukmawijaya</v>
          </cell>
          <cell r="D172">
            <v>98.210999999999999</v>
          </cell>
        </row>
        <row r="173">
          <cell r="C173" t="str">
            <v>Boby Sukmawijaya</v>
          </cell>
          <cell r="D173">
            <v>97.68</v>
          </cell>
        </row>
        <row r="174">
          <cell r="C174" t="str">
            <v>Boby Sukmawijaya</v>
          </cell>
          <cell r="D174">
            <v>98.394999999999996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95.446428569999995</v>
          </cell>
        </row>
        <row r="177">
          <cell r="C177" t="str">
            <v>Ari</v>
          </cell>
          <cell r="D177">
            <v>96.760999999999996</v>
          </cell>
        </row>
        <row r="178">
          <cell r="C178" t="str">
            <v>Ari</v>
          </cell>
          <cell r="D178">
            <v>95.760999999999996</v>
          </cell>
        </row>
        <row r="179">
          <cell r="C179" t="str">
            <v>Ari</v>
          </cell>
          <cell r="D179">
            <v>96.453999999999994</v>
          </cell>
        </row>
        <row r="180">
          <cell r="C180" t="str">
            <v>Ari</v>
          </cell>
          <cell r="D180">
            <v>96.748000000000005</v>
          </cell>
        </row>
        <row r="181">
          <cell r="C181" t="str">
            <v>Ari</v>
          </cell>
          <cell r="D181">
            <v>95.87</v>
          </cell>
        </row>
        <row r="182">
          <cell r="C182" t="str">
            <v>Ari</v>
          </cell>
          <cell r="D182">
            <v>97.352999999999994</v>
          </cell>
        </row>
        <row r="183">
          <cell r="C183" t="str">
            <v>Ari</v>
          </cell>
          <cell r="D183">
            <v>97.179000000000002</v>
          </cell>
        </row>
        <row r="184">
          <cell r="C184" t="str">
            <v>Ari</v>
          </cell>
          <cell r="D184">
            <v>97.078999999999994</v>
          </cell>
        </row>
        <row r="185">
          <cell r="C185" t="str">
            <v>Ari</v>
          </cell>
          <cell r="D185">
            <v>96.21</v>
          </cell>
        </row>
        <row r="186">
          <cell r="C186" t="str">
            <v>Helvi</v>
          </cell>
          <cell r="D186">
            <v>98.150999999999996</v>
          </cell>
        </row>
        <row r="187">
          <cell r="C187" t="str">
            <v>Helvi</v>
          </cell>
          <cell r="D187">
            <v>95.366</v>
          </cell>
        </row>
        <row r="188">
          <cell r="C188" t="str">
            <v>Helvi</v>
          </cell>
          <cell r="D188">
            <v>94.253</v>
          </cell>
        </row>
        <row r="189">
          <cell r="C189" t="str">
            <v>Helvi</v>
          </cell>
          <cell r="D189">
            <v>96.58</v>
          </cell>
        </row>
        <row r="190">
          <cell r="C190" t="str">
            <v>Helvi</v>
          </cell>
          <cell r="D190">
            <v>97.32</v>
          </cell>
        </row>
        <row r="191">
          <cell r="C191" t="str">
            <v>Helvi</v>
          </cell>
          <cell r="D191">
            <v>96.590999999999994</v>
          </cell>
        </row>
        <row r="192">
          <cell r="C192" t="str">
            <v>Helvi</v>
          </cell>
          <cell r="D192">
            <v>98.021000000000001</v>
          </cell>
        </row>
        <row r="193">
          <cell r="C193" t="str">
            <v>Helvi</v>
          </cell>
          <cell r="D193">
            <v>94.82</v>
          </cell>
        </row>
        <row r="194">
          <cell r="C194" t="str">
            <v>Helvi</v>
          </cell>
          <cell r="D194">
            <v>95.727999999999994</v>
          </cell>
        </row>
        <row r="195">
          <cell r="C195" t="str">
            <v>Helvi</v>
          </cell>
          <cell r="D195">
            <v>90.164000000000001</v>
          </cell>
        </row>
        <row r="196">
          <cell r="C196" t="str">
            <v>Helvi</v>
          </cell>
          <cell r="D196">
            <v>95.069000000000003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96.055999999999997</v>
          </cell>
        </row>
        <row r="199">
          <cell r="C199" t="str">
            <v>Ferdi Setiawan</v>
          </cell>
          <cell r="D199">
            <v>96.718999999999994</v>
          </cell>
        </row>
        <row r="200">
          <cell r="C200" t="str">
            <v>Ferdi Setiawan</v>
          </cell>
          <cell r="D200">
            <v>94.783000000000001</v>
          </cell>
        </row>
        <row r="201">
          <cell r="C201" t="str">
            <v>Ferdi Setiawan</v>
          </cell>
          <cell r="D201">
            <v>96.82</v>
          </cell>
        </row>
        <row r="202">
          <cell r="C202" t="str">
            <v>Ferdi Setiawan</v>
          </cell>
          <cell r="D202">
            <v>97.736999999999995</v>
          </cell>
        </row>
        <row r="203">
          <cell r="C203" t="str">
            <v>Ferdi Setiawan</v>
          </cell>
          <cell r="D203">
            <v>95.96</v>
          </cell>
        </row>
        <row r="204">
          <cell r="C204" t="str">
            <v>Ferdi Setiawan</v>
          </cell>
          <cell r="D204">
            <v>96.097999999999999</v>
          </cell>
        </row>
        <row r="205">
          <cell r="C205" t="str">
            <v>Ferdi Setiawan</v>
          </cell>
          <cell r="D205">
            <v>96.587999999999994</v>
          </cell>
        </row>
        <row r="206">
          <cell r="C206" t="str">
            <v>Ferdi Setiawan</v>
          </cell>
          <cell r="D206">
            <v>96.504999999999995</v>
          </cell>
        </row>
        <row r="207">
          <cell r="C207" t="str">
            <v>Ferdi Setiawan</v>
          </cell>
          <cell r="D207">
            <v>97.156000000000006</v>
          </cell>
        </row>
        <row r="208">
          <cell r="C208" t="str">
            <v>Ferdi Setiawan</v>
          </cell>
          <cell r="D208">
            <v>97.444999999999993</v>
          </cell>
        </row>
        <row r="209">
          <cell r="C209" t="str">
            <v>Ferdi Setiawan</v>
          </cell>
          <cell r="D209">
            <v>95.956000000000003</v>
          </cell>
        </row>
        <row r="210">
          <cell r="C210" t="str">
            <v>Ferdi Setiawan</v>
          </cell>
          <cell r="D210">
            <v>96.289000000000001</v>
          </cell>
        </row>
        <row r="211">
          <cell r="C211" t="str">
            <v>Ferdi Setiawan</v>
          </cell>
          <cell r="D211">
            <v>97.210999999999999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92</v>
          </cell>
        </row>
        <row r="214">
          <cell r="C214" t="str">
            <v>Gesang Jumadi</v>
          </cell>
          <cell r="D214">
            <v>91.751999999999995</v>
          </cell>
        </row>
        <row r="215">
          <cell r="C215" t="str">
            <v>Gesang Jumadi</v>
          </cell>
          <cell r="D215">
            <v>94.483000000000004</v>
          </cell>
        </row>
        <row r="216">
          <cell r="C216" t="str">
            <v>Gesang Jumadi</v>
          </cell>
          <cell r="D216">
            <v>94.762</v>
          </cell>
        </row>
        <row r="217">
          <cell r="C217" t="str">
            <v>Gesang Jumadi</v>
          </cell>
          <cell r="D217">
            <v>94.585999999999999</v>
          </cell>
        </row>
        <row r="218">
          <cell r="C218" t="str">
            <v>Gesang Jumadi</v>
          </cell>
          <cell r="D218">
            <v>94.478999999999999</v>
          </cell>
        </row>
        <row r="219">
          <cell r="C219" t="str">
            <v>Gesang Jumadi</v>
          </cell>
          <cell r="D219">
            <v>92.558000000000007</v>
          </cell>
        </row>
        <row r="220">
          <cell r="C220" t="str">
            <v>Gesang Jumadi</v>
          </cell>
          <cell r="D220">
            <v>93.316000000000003</v>
          </cell>
        </row>
        <row r="221">
          <cell r="C221" t="str">
            <v>Gesang Jumadi</v>
          </cell>
          <cell r="D221">
            <v>90.5</v>
          </cell>
        </row>
        <row r="222">
          <cell r="C222" t="str">
            <v>Gesang Jumadi</v>
          </cell>
          <cell r="D222">
            <v>94</v>
          </cell>
        </row>
        <row r="223">
          <cell r="C223" t="str">
            <v>Gesang Jumadi</v>
          </cell>
          <cell r="D223">
            <v>91.733000000000004</v>
          </cell>
        </row>
        <row r="224">
          <cell r="C224" t="str">
            <v>Gesang Jumadi</v>
          </cell>
          <cell r="D224">
            <v>95.933999999999997</v>
          </cell>
        </row>
        <row r="225">
          <cell r="C225" t="str">
            <v>Gesang Jumadi</v>
          </cell>
          <cell r="D225">
            <v>93.141000000000005</v>
          </cell>
        </row>
        <row r="226">
          <cell r="C226" t="str">
            <v>Gesang Jumadi</v>
          </cell>
          <cell r="D226">
            <v>96.263999999999996</v>
          </cell>
        </row>
        <row r="227">
          <cell r="C227" t="str">
            <v>Gesang Jumadi</v>
          </cell>
          <cell r="D227">
            <v>94.36</v>
          </cell>
        </row>
        <row r="228">
          <cell r="C228" t="str">
            <v>Gumilar Rudimaya</v>
          </cell>
          <cell r="D228">
            <v>96.293999999999997</v>
          </cell>
        </row>
        <row r="229">
          <cell r="C229" t="str">
            <v>Gumilar Rudimaya</v>
          </cell>
          <cell r="D229">
            <v>92.096999999999994</v>
          </cell>
        </row>
        <row r="230">
          <cell r="C230" t="str">
            <v>Gumilar Rudimaya</v>
          </cell>
          <cell r="D230">
            <v>90.093999999999994</v>
          </cell>
        </row>
        <row r="231">
          <cell r="C231" t="str">
            <v>Gumilar Rudimaya</v>
          </cell>
          <cell r="D231">
            <v>97.063000000000002</v>
          </cell>
        </row>
        <row r="232">
          <cell r="C232" t="str">
            <v>Gumilar Rudimaya</v>
          </cell>
          <cell r="D232">
            <v>93.506</v>
          </cell>
        </row>
        <row r="233">
          <cell r="C233" t="str">
            <v>Gumilar Rudimaya</v>
          </cell>
          <cell r="D233">
            <v>90.597999999999999</v>
          </cell>
        </row>
        <row r="234">
          <cell r="C234" t="str">
            <v>Gumilar Rudimaya</v>
          </cell>
          <cell r="D234">
            <v>92.36</v>
          </cell>
        </row>
        <row r="235">
          <cell r="C235" t="str">
            <v>Gumilar Rudimaya</v>
          </cell>
          <cell r="D235">
            <v>90.927000000000007</v>
          </cell>
        </row>
        <row r="236">
          <cell r="C236" t="str">
            <v>Gumilar Rudimaya</v>
          </cell>
          <cell r="D236">
            <v>92.381</v>
          </cell>
        </row>
        <row r="237">
          <cell r="C237" t="str">
            <v>Gumilar Rudimaya</v>
          </cell>
          <cell r="D237">
            <v>92.471999999999994</v>
          </cell>
        </row>
        <row r="238">
          <cell r="C238" t="str">
            <v>Gumilar Rudimaya</v>
          </cell>
          <cell r="D238">
            <v>94.727000000000004</v>
          </cell>
        </row>
        <row r="239">
          <cell r="C239" t="str">
            <v>Gumilar Rudimaya</v>
          </cell>
          <cell r="D239">
            <v>95.784999999999997</v>
          </cell>
        </row>
        <row r="240">
          <cell r="C240" t="str">
            <v>Gumilar Rudimaya</v>
          </cell>
          <cell r="D240">
            <v>95.361999999999995</v>
          </cell>
        </row>
        <row r="241">
          <cell r="C241" t="str">
            <v>Gumilar Rudimaya</v>
          </cell>
          <cell r="D241">
            <v>94.424000000000007</v>
          </cell>
        </row>
        <row r="242">
          <cell r="C242" t="str">
            <v>Gumilar Rudimaya</v>
          </cell>
          <cell r="D242">
            <v>90.960999999999999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96.471000000000004</v>
          </cell>
        </row>
        <row r="245">
          <cell r="C245" t="str">
            <v>Indra Jantana</v>
          </cell>
          <cell r="D245">
            <v>91.082999999999998</v>
          </cell>
        </row>
        <row r="246">
          <cell r="C246" t="str">
            <v>Indra Jantana</v>
          </cell>
          <cell r="D246">
            <v>93.216999999999999</v>
          </cell>
        </row>
        <row r="247">
          <cell r="C247" t="str">
            <v>Indra Jantana</v>
          </cell>
          <cell r="D247">
            <v>93.881</v>
          </cell>
        </row>
        <row r="248">
          <cell r="C248" t="str">
            <v>Indra Jantana</v>
          </cell>
          <cell r="D248">
            <v>96.337999999999994</v>
          </cell>
        </row>
        <row r="249">
          <cell r="C249" t="str">
            <v>Indra Jantana</v>
          </cell>
          <cell r="D249">
            <v>94.766999999999996</v>
          </cell>
        </row>
        <row r="250">
          <cell r="C250" t="str">
            <v>Indra Jantana</v>
          </cell>
          <cell r="D250">
            <v>96.527000000000001</v>
          </cell>
        </row>
        <row r="251">
          <cell r="C251" t="str">
            <v>Indra Jantana</v>
          </cell>
          <cell r="D251">
            <v>95.61</v>
          </cell>
        </row>
        <row r="252">
          <cell r="C252" t="str">
            <v>Indra Jantana</v>
          </cell>
          <cell r="D252">
            <v>96.757000000000005</v>
          </cell>
        </row>
        <row r="253">
          <cell r="C253" t="str">
            <v>Indra Jantana</v>
          </cell>
          <cell r="D253">
            <v>95.671999999999997</v>
          </cell>
        </row>
        <row r="254">
          <cell r="C254" t="str">
            <v>Indra Jantana</v>
          </cell>
          <cell r="D254">
            <v>94.762</v>
          </cell>
        </row>
        <row r="255">
          <cell r="C255" t="str">
            <v>Indra Jantana</v>
          </cell>
          <cell r="D255">
            <v>94.444000000000003</v>
          </cell>
        </row>
        <row r="256">
          <cell r="C256" t="str">
            <v>Indra Jantana</v>
          </cell>
          <cell r="D256">
            <v>97.869</v>
          </cell>
        </row>
        <row r="257">
          <cell r="C257" t="str">
            <v>Indra Jantana</v>
          </cell>
          <cell r="D257">
            <v>96.28</v>
          </cell>
        </row>
        <row r="258">
          <cell r="C258" t="str">
            <v>Indra Jantana</v>
          </cell>
          <cell r="D258">
            <v>94.463999999999999</v>
          </cell>
        </row>
        <row r="259">
          <cell r="C259" t="str">
            <v>Indra Jantana</v>
          </cell>
          <cell r="D259">
            <v>95.07</v>
          </cell>
        </row>
        <row r="260">
          <cell r="C260" t="str">
            <v>Indra Jantana</v>
          </cell>
          <cell r="D260">
            <v>94.564999999999998</v>
          </cell>
        </row>
        <row r="261">
          <cell r="C261" t="str">
            <v>Indra Jantana</v>
          </cell>
          <cell r="D261">
            <v>93.218999999999994</v>
          </cell>
        </row>
        <row r="262">
          <cell r="C262" t="str">
            <v>Indra Jantana</v>
          </cell>
          <cell r="D262">
            <v>92.5</v>
          </cell>
        </row>
        <row r="263">
          <cell r="C263" t="str">
            <v>Indra Jantana</v>
          </cell>
          <cell r="D263">
            <v>93.838999999999999</v>
          </cell>
        </row>
        <row r="264">
          <cell r="C264" t="str">
            <v>Indra Jantana</v>
          </cell>
          <cell r="D264">
            <v>94.947999999999993</v>
          </cell>
        </row>
        <row r="265">
          <cell r="C265" t="str">
            <v>Indra Jantana</v>
          </cell>
          <cell r="D265">
            <v>95.278000000000006</v>
          </cell>
        </row>
        <row r="266">
          <cell r="C266" t="str">
            <v>Indra Jantana</v>
          </cell>
          <cell r="D266">
            <v>95.212999999999994</v>
          </cell>
        </row>
        <row r="267">
          <cell r="C267" t="str">
            <v>Indra Jantana</v>
          </cell>
          <cell r="D267">
            <v>94.872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90.230999999999995</v>
          </cell>
        </row>
        <row r="270">
          <cell r="C270" t="str">
            <v>Yudi Wahyudi</v>
          </cell>
          <cell r="D270">
            <v>94.712000000000003</v>
          </cell>
        </row>
        <row r="271">
          <cell r="C271" t="str">
            <v>Yudi Wahyudi</v>
          </cell>
          <cell r="D271">
            <v>85.185000000000002</v>
          </cell>
        </row>
        <row r="272">
          <cell r="C272" t="str">
            <v>Yudi Wahyudi</v>
          </cell>
          <cell r="D272">
            <v>92.5</v>
          </cell>
        </row>
        <row r="273">
          <cell r="C273" t="str">
            <v>Yudi Wahyudi</v>
          </cell>
          <cell r="D273">
            <v>89.573999999999998</v>
          </cell>
        </row>
        <row r="274">
          <cell r="C274" t="str">
            <v>Yudi Wahyudi</v>
          </cell>
          <cell r="D274">
            <v>88.543999999999997</v>
          </cell>
        </row>
        <row r="275">
          <cell r="C275" t="str">
            <v>Yudi Wahyudi</v>
          </cell>
          <cell r="D275">
            <v>89.811000000000007</v>
          </cell>
        </row>
        <row r="276">
          <cell r="C276" t="str">
            <v>Yudi Wahyudi</v>
          </cell>
          <cell r="D276">
            <v>91.031000000000006</v>
          </cell>
        </row>
        <row r="277">
          <cell r="C277" t="str">
            <v>Yudi Wahyudi</v>
          </cell>
          <cell r="D277">
            <v>94.230999999999995</v>
          </cell>
        </row>
        <row r="278">
          <cell r="C278" t="str">
            <v>Yudi Wahyudi</v>
          </cell>
          <cell r="D278">
            <v>89.337000000000003</v>
          </cell>
        </row>
        <row r="279">
          <cell r="C279" t="str">
            <v>Yudi Wahyudi</v>
          </cell>
          <cell r="D279">
            <v>92.244</v>
          </cell>
        </row>
        <row r="280">
          <cell r="C280" t="str">
            <v>Yudi Wahyudi</v>
          </cell>
          <cell r="D280">
            <v>93.043000000000006</v>
          </cell>
        </row>
        <row r="281">
          <cell r="C281" t="str">
            <v>Yudi Wahyudi</v>
          </cell>
          <cell r="D281">
            <v>90.212999999999994</v>
          </cell>
        </row>
        <row r="282">
          <cell r="C282" t="str">
            <v>Yudi Wahyudi</v>
          </cell>
          <cell r="D282">
            <v>94.358999999999995</v>
          </cell>
        </row>
        <row r="283">
          <cell r="C283" t="str">
            <v>Yudi Wahyudi</v>
          </cell>
          <cell r="D283">
            <v>91.563000000000002</v>
          </cell>
        </row>
        <row r="284">
          <cell r="C284" t="str">
            <v>Yudi Wahyudi</v>
          </cell>
          <cell r="D284">
            <v>92.263999999999996</v>
          </cell>
        </row>
        <row r="285">
          <cell r="C285" t="str">
            <v>Yudi Wahyudi</v>
          </cell>
          <cell r="D285">
            <v>94.444000000000003</v>
          </cell>
        </row>
        <row r="286">
          <cell r="C286" t="str">
            <v>Yudi Wahyudi</v>
          </cell>
          <cell r="D286">
            <v>89.504999999999995</v>
          </cell>
        </row>
        <row r="287">
          <cell r="C287" t="str">
            <v>Yudi Wahyudi</v>
          </cell>
          <cell r="D287">
            <v>92.820999999999998</v>
          </cell>
        </row>
        <row r="288">
          <cell r="C288" t="str">
            <v>Yudi Wahyudi</v>
          </cell>
          <cell r="D288">
            <v>89.009</v>
          </cell>
        </row>
        <row r="289">
          <cell r="C289" t="str">
            <v>Yudi Wahyudi</v>
          </cell>
          <cell r="D289">
            <v>89.777000000000001</v>
          </cell>
        </row>
        <row r="290">
          <cell r="C290" t="str">
            <v>Yudi Wahyudi</v>
          </cell>
          <cell r="D290">
            <v>91.022000000000006</v>
          </cell>
        </row>
        <row r="291">
          <cell r="C291" t="str">
            <v>Yudi Wahyudi</v>
          </cell>
          <cell r="D291">
            <v>89.677000000000007</v>
          </cell>
        </row>
        <row r="292">
          <cell r="C292" t="str">
            <v>Yudi Wahyudi</v>
          </cell>
          <cell r="D292">
            <v>87.831999999999994</v>
          </cell>
        </row>
        <row r="293">
          <cell r="C293" t="str">
            <v>Yudi Wahyudi</v>
          </cell>
          <cell r="D293">
            <v>85.769000000000005</v>
          </cell>
        </row>
        <row r="294">
          <cell r="C294" t="str">
            <v>Yudi Wahyudi</v>
          </cell>
          <cell r="D294">
            <v>91.509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90.94</v>
          </cell>
        </row>
        <row r="297">
          <cell r="C297" t="str">
            <v>Febri Dwi Prabowo</v>
          </cell>
          <cell r="D297">
            <v>91.344999999999999</v>
          </cell>
        </row>
        <row r="298">
          <cell r="C298" t="str">
            <v>Febri Dwi Prabowo</v>
          </cell>
          <cell r="D298">
            <v>92.637</v>
          </cell>
        </row>
        <row r="299">
          <cell r="C299" t="str">
            <v>Febri Dwi Prabowo</v>
          </cell>
          <cell r="D299">
            <v>90.524000000000001</v>
          </cell>
        </row>
        <row r="300">
          <cell r="C300" t="str">
            <v>Febri Dwi Prabowo</v>
          </cell>
          <cell r="D300">
            <v>89.754000000000005</v>
          </cell>
        </row>
        <row r="301">
          <cell r="C301" t="str">
            <v>Febri Dwi Prabowo</v>
          </cell>
          <cell r="D301">
            <v>93.787000000000006</v>
          </cell>
        </row>
        <row r="302">
          <cell r="C302" t="str">
            <v>Febri Dwi Prabowo</v>
          </cell>
          <cell r="D302">
            <v>92.313000000000002</v>
          </cell>
        </row>
        <row r="303">
          <cell r="C303" t="str">
            <v>Febri Dwi Prabowo</v>
          </cell>
          <cell r="D303">
            <v>90.807000000000002</v>
          </cell>
        </row>
        <row r="304">
          <cell r="C304" t="str">
            <v>Febri Dwi Prabowo</v>
          </cell>
          <cell r="D304">
            <v>89.893000000000001</v>
          </cell>
        </row>
        <row r="305">
          <cell r="C305" t="str">
            <v>Febri Dwi Prabowo</v>
          </cell>
          <cell r="D305">
            <v>91.561000000000007</v>
          </cell>
        </row>
        <row r="306">
          <cell r="C306" t="str">
            <v>Febri Dwi Prabowo</v>
          </cell>
          <cell r="D306">
            <v>89.421999999999997</v>
          </cell>
        </row>
        <row r="307">
          <cell r="C307" t="str">
            <v>Febri Dwi Prabowo</v>
          </cell>
          <cell r="D307">
            <v>92.918999999999997</v>
          </cell>
        </row>
        <row r="308">
          <cell r="C308" t="str">
            <v>Febri Dwi Prabowo</v>
          </cell>
          <cell r="D308">
            <v>87.753</v>
          </cell>
        </row>
        <row r="309">
          <cell r="C309" t="str">
            <v>Made Windu Kuntara</v>
          </cell>
          <cell r="D309">
            <v>91.25</v>
          </cell>
        </row>
        <row r="310">
          <cell r="C310" t="str">
            <v>Made Windu Kuntara</v>
          </cell>
          <cell r="D310">
            <v>91.61</v>
          </cell>
        </row>
        <row r="311">
          <cell r="C311" t="str">
            <v>Made Windu Kuntara</v>
          </cell>
          <cell r="D311">
            <v>92.471000000000004</v>
          </cell>
        </row>
        <row r="312">
          <cell r="C312" t="str">
            <v>Made Windu Kuntara</v>
          </cell>
          <cell r="D312">
            <v>93.004999999999995</v>
          </cell>
        </row>
        <row r="313">
          <cell r="C313" t="str">
            <v>Made Windu Kuntara</v>
          </cell>
          <cell r="D313">
            <v>90.37</v>
          </cell>
        </row>
        <row r="314">
          <cell r="C314" t="str">
            <v>Made Windu Kuntara</v>
          </cell>
          <cell r="D314">
            <v>86.929000000000002</v>
          </cell>
        </row>
        <row r="315">
          <cell r="C315" t="str">
            <v>Made Windu Kuntara</v>
          </cell>
          <cell r="D315">
            <v>90.667000000000002</v>
          </cell>
        </row>
        <row r="316">
          <cell r="C316" t="str">
            <v>Made Windu Kuntara</v>
          </cell>
          <cell r="D316">
            <v>89.778000000000006</v>
          </cell>
        </row>
        <row r="317">
          <cell r="C317" t="str">
            <v>Made Windu Kuntara</v>
          </cell>
          <cell r="D317">
            <v>91.328000000000003</v>
          </cell>
        </row>
        <row r="318">
          <cell r="C318" t="str">
            <v>Made Windu Kuntara</v>
          </cell>
          <cell r="D318">
            <v>89.155000000000001</v>
          </cell>
        </row>
        <row r="319">
          <cell r="C319" t="str">
            <v>Made Windu Kuntara</v>
          </cell>
          <cell r="D319">
            <v>87.597999999999999</v>
          </cell>
        </row>
        <row r="320">
          <cell r="C320" t="str">
            <v>Made Windu Kuntara</v>
          </cell>
          <cell r="D320">
            <v>90.540999999999997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98.213999999999999</v>
          </cell>
        </row>
        <row r="323">
          <cell r="C323" t="str">
            <v>Jusuf Charles Rumende (PN : 00059432)</v>
          </cell>
          <cell r="D323">
            <v>96.725999999999999</v>
          </cell>
        </row>
        <row r="324">
          <cell r="C324" t="str">
            <v>Jusuf Charles Rumende (PN : 00059432)</v>
          </cell>
          <cell r="D324">
            <v>95.703000000000003</v>
          </cell>
        </row>
        <row r="325">
          <cell r="C325" t="str">
            <v>Jusuf Charles Rumende (PN : 00059432)</v>
          </cell>
          <cell r="D325">
            <v>97.283000000000001</v>
          </cell>
        </row>
        <row r="326">
          <cell r="C326" t="str">
            <v>Jusuf Charles Rumende (PN : 00059432)</v>
          </cell>
          <cell r="D326">
            <v>93.947999999999993</v>
          </cell>
        </row>
        <row r="327">
          <cell r="C327" t="str">
            <v>Jusuf Charles Rumende (PN : 00059432)</v>
          </cell>
          <cell r="D327">
            <v>97.558999999999997</v>
          </cell>
        </row>
        <row r="328">
          <cell r="C328" t="str">
            <v>Jusuf Charles Rumende (PN : 00059432)</v>
          </cell>
          <cell r="D328">
            <v>98.918999999999997</v>
          </cell>
        </row>
        <row r="329">
          <cell r="C329" t="str">
            <v>Jusuf Charles Rumende (PN : 00059432)</v>
          </cell>
          <cell r="D329">
            <v>97.075000000000003</v>
          </cell>
        </row>
        <row r="330">
          <cell r="C330" t="str">
            <v>Jusuf Charles Rumende (PN : 00059432)</v>
          </cell>
          <cell r="D330">
            <v>97.724000000000004</v>
          </cell>
        </row>
        <row r="331">
          <cell r="C331" t="str">
            <v>Jusuf Charles Rumende (PN : 00059432)</v>
          </cell>
          <cell r="D331">
            <v>98.344999999999999</v>
          </cell>
        </row>
        <row r="332">
          <cell r="C332" t="str">
            <v>Jusuf Charles Rumende (PN : 00059432)</v>
          </cell>
          <cell r="D332">
            <v>96.983000000000004</v>
          </cell>
        </row>
        <row r="333">
          <cell r="C333" t="str">
            <v>Jusuf Charles Rumende (PN : 00059432)</v>
          </cell>
          <cell r="D333">
            <v>94.691000000000003</v>
          </cell>
        </row>
        <row r="334">
          <cell r="C334" t="str">
            <v>Jusuf Charles Rumende (PN : 00059432)</v>
          </cell>
          <cell r="D334">
            <v>95.042000000000002</v>
          </cell>
        </row>
        <row r="335">
          <cell r="C335" t="str">
            <v>Jusuf Charles Rumende (PN : 00059432)</v>
          </cell>
          <cell r="D335">
            <v>97.554000000000002</v>
          </cell>
        </row>
        <row r="336">
          <cell r="C336" t="str">
            <v>Jusuf Charles Rumende (PN : 00059432)</v>
          </cell>
          <cell r="D336">
            <v>97.381</v>
          </cell>
        </row>
        <row r="337">
          <cell r="C337" t="str">
            <v>Jusuf Charles Rumende (PN : 00059432)</v>
          </cell>
          <cell r="D337">
            <v>89.177999999999997</v>
          </cell>
        </row>
        <row r="338">
          <cell r="C338" t="str">
            <v>Jusuf Charles Rumende (PN : 00059432)</v>
          </cell>
          <cell r="D338">
            <v>96.694000000000003</v>
          </cell>
        </row>
        <row r="339">
          <cell r="C339" t="str">
            <v>Jusuf Charles Rumende (PN : 00059432)</v>
          </cell>
          <cell r="D339">
            <v>97.84</v>
          </cell>
        </row>
        <row r="340">
          <cell r="C340" t="str">
            <v>Jusuf Charles Rumende (PN : 00059432)</v>
          </cell>
          <cell r="D340">
            <v>93.770491800000002</v>
          </cell>
        </row>
        <row r="341">
          <cell r="C341" t="str">
            <v>Jusuf Charles Rumende (PN : 00059432)</v>
          </cell>
          <cell r="D341">
            <v>94.286000000000001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98.394999999999996</v>
          </cell>
        </row>
        <row r="344">
          <cell r="C344" t="str">
            <v>Syamsul Arifianto</v>
          </cell>
          <cell r="D344">
            <v>96.272999999999996</v>
          </cell>
        </row>
        <row r="345">
          <cell r="C345" t="str">
            <v>Syamsul Arifianto</v>
          </cell>
          <cell r="D345">
            <v>95.661000000000001</v>
          </cell>
        </row>
        <row r="346">
          <cell r="C346" t="str">
            <v>Syamsul Arifianto</v>
          </cell>
          <cell r="D346">
            <v>98.111000000000004</v>
          </cell>
        </row>
        <row r="347">
          <cell r="C347" t="str">
            <v>Syamsul Arifianto</v>
          </cell>
          <cell r="D347">
            <v>97.387</v>
          </cell>
        </row>
        <row r="348">
          <cell r="C348" t="str">
            <v>Syamsul Arifianto</v>
          </cell>
          <cell r="D348">
            <v>97.376999999999995</v>
          </cell>
        </row>
        <row r="349">
          <cell r="C349" t="str">
            <v>Syamsul Arifianto</v>
          </cell>
          <cell r="D349">
            <v>98.617000000000004</v>
          </cell>
        </row>
        <row r="350">
          <cell r="C350" t="str">
            <v>Syamsul Arifianto</v>
          </cell>
          <cell r="D350">
            <v>97.52</v>
          </cell>
        </row>
        <row r="351">
          <cell r="C351" t="str">
            <v>Syamsul Arifianto</v>
          </cell>
          <cell r="D351">
            <v>98.076999999999998</v>
          </cell>
        </row>
        <row r="352">
          <cell r="C352" t="str">
            <v>Syamsul Arifianto</v>
          </cell>
          <cell r="D352">
            <v>98.272000000000006</v>
          </cell>
        </row>
        <row r="353">
          <cell r="C353" t="str">
            <v>Syamsul Arifianto</v>
          </cell>
          <cell r="D353">
            <v>96.046999999999997</v>
          </cell>
        </row>
        <row r="354">
          <cell r="C354" t="str">
            <v>Veronica Dwi Kurniasih</v>
          </cell>
          <cell r="D354">
            <v>98.977000000000004</v>
          </cell>
        </row>
        <row r="355">
          <cell r="C355" t="str">
            <v>Veronica Dwi Kurniasih</v>
          </cell>
          <cell r="D355">
            <v>96.760999999999996</v>
          </cell>
        </row>
        <row r="356">
          <cell r="C356" t="str">
            <v>Veronica Dwi Kurniasih</v>
          </cell>
          <cell r="D356">
            <v>96.844999999999999</v>
          </cell>
        </row>
        <row r="357">
          <cell r="C357" t="str">
            <v>Veronica Dwi Kurniasih</v>
          </cell>
          <cell r="D357">
            <v>96.602999999999994</v>
          </cell>
        </row>
        <row r="358">
          <cell r="C358" t="str">
            <v>Veronica Dwi Kurniasih</v>
          </cell>
          <cell r="D358">
            <v>95.081999999999994</v>
          </cell>
        </row>
        <row r="359">
          <cell r="C359" t="str">
            <v>Veronica Dwi Kurniasih</v>
          </cell>
          <cell r="D359">
            <v>97.468000000000004</v>
          </cell>
        </row>
        <row r="360">
          <cell r="C360" t="str">
            <v>Veronica Dwi Kurniasih</v>
          </cell>
          <cell r="D360">
            <v>95.552999999999997</v>
          </cell>
        </row>
        <row r="361">
          <cell r="C361" t="str">
            <v>Veronica Dwi Kurniasih</v>
          </cell>
          <cell r="D361">
            <v>97.948999999999998</v>
          </cell>
        </row>
        <row r="362">
          <cell r="C362" t="str">
            <v>Veronica Dwi Kurniasih</v>
          </cell>
          <cell r="D362">
            <v>98.956000000000003</v>
          </cell>
        </row>
        <row r="363">
          <cell r="C363" t="str">
            <v>Veronica Dwi Kurniasih</v>
          </cell>
          <cell r="D363">
            <v>98.881</v>
          </cell>
        </row>
        <row r="364">
          <cell r="C364" t="str">
            <v>Veronica Dwi Kurniasih</v>
          </cell>
          <cell r="D364">
            <v>95.403000000000006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97.98</v>
          </cell>
        </row>
        <row r="367">
          <cell r="C367" t="str">
            <v>Asep Kristiono</v>
          </cell>
          <cell r="D367">
            <v>97.691999999999993</v>
          </cell>
        </row>
        <row r="368">
          <cell r="C368" t="str">
            <v>Asep Kristiono</v>
          </cell>
          <cell r="D368">
            <v>98.709000000000003</v>
          </cell>
        </row>
        <row r="369">
          <cell r="C369" t="str">
            <v>Asep Kristiono</v>
          </cell>
          <cell r="D369">
            <v>98.031000000000006</v>
          </cell>
        </row>
        <row r="370">
          <cell r="C370" t="str">
            <v>Asep Kristiono</v>
          </cell>
          <cell r="D370">
            <v>98.159000000000006</v>
          </cell>
        </row>
        <row r="371">
          <cell r="C371" t="str">
            <v>Asep Kristiono</v>
          </cell>
          <cell r="D371">
            <v>97.617000000000004</v>
          </cell>
        </row>
        <row r="372">
          <cell r="C372" t="str">
            <v>Asep Kristiono</v>
          </cell>
          <cell r="D372">
            <v>97.427000000000007</v>
          </cell>
        </row>
        <row r="373">
          <cell r="C373" t="str">
            <v>Asep Kristiono</v>
          </cell>
          <cell r="D373">
            <v>97.444000000000003</v>
          </cell>
        </row>
        <row r="374">
          <cell r="C374" t="str">
            <v>Asep Kristiono</v>
          </cell>
          <cell r="D374">
            <v>97.302999999999997</v>
          </cell>
        </row>
        <row r="375">
          <cell r="C375" t="str">
            <v>Asep Kristiono</v>
          </cell>
          <cell r="D375">
            <v>97.563999999999993</v>
          </cell>
        </row>
        <row r="376">
          <cell r="C376" t="str">
            <v>Asep Kristiono</v>
          </cell>
          <cell r="D376">
            <v>98.557000000000002</v>
          </cell>
        </row>
        <row r="377">
          <cell r="C377" t="str">
            <v>Dian Septianti</v>
          </cell>
          <cell r="D377">
            <v>97.894736839999993</v>
          </cell>
        </row>
        <row r="378">
          <cell r="C378" t="str">
            <v>Dian Septianti</v>
          </cell>
          <cell r="D378">
            <v>98.545000000000002</v>
          </cell>
        </row>
        <row r="379">
          <cell r="C379" t="str">
            <v>Dian Septianti</v>
          </cell>
          <cell r="D379">
            <v>98.932000000000002</v>
          </cell>
        </row>
        <row r="380">
          <cell r="C380" t="str">
            <v>Dian Septianti</v>
          </cell>
          <cell r="D380">
            <v>98.081999999999994</v>
          </cell>
        </row>
        <row r="381">
          <cell r="C381" t="str">
            <v>Dian Septianti</v>
          </cell>
          <cell r="D381">
            <v>98.478999999999999</v>
          </cell>
        </row>
        <row r="382">
          <cell r="C382" t="str">
            <v>Dian Septianti</v>
          </cell>
          <cell r="D382">
            <v>97.384</v>
          </cell>
        </row>
        <row r="383">
          <cell r="C383" t="str">
            <v>Dian Septianti</v>
          </cell>
          <cell r="D383">
            <v>97.364000000000004</v>
          </cell>
        </row>
        <row r="384">
          <cell r="C384" t="str">
            <v>Dian Septianti</v>
          </cell>
          <cell r="D384">
            <v>98.834999999999994</v>
          </cell>
        </row>
        <row r="385">
          <cell r="C385" t="str">
            <v>Dian Septianti</v>
          </cell>
          <cell r="D385">
            <v>97.668000000000006</v>
          </cell>
        </row>
        <row r="386">
          <cell r="C386" t="str">
            <v>Dian Septianti</v>
          </cell>
          <cell r="D386">
            <v>97.991</v>
          </cell>
        </row>
        <row r="387">
          <cell r="C387" t="str">
            <v>Dian Septianti</v>
          </cell>
          <cell r="D387">
            <v>97.697999999999993</v>
          </cell>
        </row>
        <row r="388">
          <cell r="C388" t="str">
            <v>Waras Suyitno</v>
          </cell>
          <cell r="D388">
            <v>98.546000000000006</v>
          </cell>
        </row>
        <row r="389">
          <cell r="C389" t="str">
            <v>Waras Suyitno</v>
          </cell>
          <cell r="D389">
            <v>98.840999999999994</v>
          </cell>
        </row>
        <row r="390">
          <cell r="C390" t="str">
            <v>Waras Suyitno</v>
          </cell>
          <cell r="D390">
            <v>97.436000000000007</v>
          </cell>
        </row>
        <row r="391">
          <cell r="C391" t="str">
            <v>Waras Suyitno</v>
          </cell>
          <cell r="D391">
            <v>97.712000000000003</v>
          </cell>
        </row>
        <row r="392">
          <cell r="C392" t="str">
            <v>Waras Suyitno</v>
          </cell>
          <cell r="D392">
            <v>97.831000000000003</v>
          </cell>
        </row>
        <row r="393">
          <cell r="C393" t="str">
            <v>Waras Suyitno</v>
          </cell>
          <cell r="D393">
            <v>98.125</v>
          </cell>
        </row>
        <row r="394">
          <cell r="C394" t="str">
            <v>Waras Suyitno</v>
          </cell>
          <cell r="D394">
            <v>97.61</v>
          </cell>
        </row>
        <row r="395">
          <cell r="C395" t="str">
            <v>Waras Suyitno</v>
          </cell>
          <cell r="D395">
            <v>98.438000000000002</v>
          </cell>
        </row>
        <row r="396">
          <cell r="C396" t="str">
            <v>Waras Suyitno</v>
          </cell>
          <cell r="D396">
            <v>98.495000000000005</v>
          </cell>
        </row>
        <row r="397">
          <cell r="C397" t="str">
            <v>Waras Suyitno</v>
          </cell>
          <cell r="D397">
            <v>98.376999999999995</v>
          </cell>
        </row>
        <row r="398">
          <cell r="C398" t="str">
            <v>Waras Suyitno</v>
          </cell>
          <cell r="D398">
            <v>98.587000000000003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96.010999999999996</v>
          </cell>
        </row>
        <row r="401">
          <cell r="C401" t="str">
            <v>Moch. Arief Budiman</v>
          </cell>
          <cell r="D401">
            <v>95.763000000000005</v>
          </cell>
        </row>
        <row r="402">
          <cell r="C402" t="str">
            <v>Moch. Arief Budiman</v>
          </cell>
          <cell r="D402">
            <v>95.126000000000005</v>
          </cell>
        </row>
        <row r="403">
          <cell r="C403" t="str">
            <v>Moch. Arief Budiman</v>
          </cell>
          <cell r="D403">
            <v>96.649000000000001</v>
          </cell>
        </row>
        <row r="404">
          <cell r="C404" t="str">
            <v>Moch. Arief Budiman</v>
          </cell>
          <cell r="D404">
            <v>95.462000000000003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96.837999999999994</v>
          </cell>
        </row>
        <row r="407">
          <cell r="C407" t="str">
            <v>Moch. Arief Budiman</v>
          </cell>
          <cell r="D407">
            <v>96.486000000000004</v>
          </cell>
        </row>
        <row r="408">
          <cell r="C408" t="str">
            <v>Rukiyat Prihantoko</v>
          </cell>
          <cell r="D408">
            <v>98.941999999999993</v>
          </cell>
        </row>
        <row r="409">
          <cell r="C409" t="str">
            <v>Rukiyat Prihantoko</v>
          </cell>
          <cell r="D409">
            <v>95.477999999999994</v>
          </cell>
        </row>
        <row r="410">
          <cell r="C410" t="str">
            <v>Rukiyat Prihantoko</v>
          </cell>
          <cell r="D410">
            <v>97.206000000000003</v>
          </cell>
        </row>
        <row r="411">
          <cell r="C411" t="str">
            <v>Rukiyat Prihantoko</v>
          </cell>
          <cell r="D411">
            <v>96.429000000000002</v>
          </cell>
        </row>
        <row r="412">
          <cell r="C412" t="str">
            <v>Rukiyat Prihantoko</v>
          </cell>
          <cell r="D412">
            <v>97.2</v>
          </cell>
        </row>
        <row r="413">
          <cell r="C413" t="str">
            <v>Rukiyat Prihantoko</v>
          </cell>
          <cell r="D413">
            <v>94.326999999999998</v>
          </cell>
        </row>
        <row r="414">
          <cell r="C414" t="str">
            <v>Rukiyat Prihantoko</v>
          </cell>
          <cell r="D414">
            <v>96.841999999999999</v>
          </cell>
        </row>
        <row r="415">
          <cell r="C415" t="str">
            <v>Rukiyat Prihantoko</v>
          </cell>
          <cell r="D415">
            <v>95.116</v>
          </cell>
        </row>
        <row r="416">
          <cell r="C416" t="str">
            <v>Rukiyat Prihantoko</v>
          </cell>
          <cell r="D416">
            <v>97.899000000000001</v>
          </cell>
        </row>
        <row r="417">
          <cell r="C417" t="str">
            <v>Sutrisno Hadi Pranoto</v>
          </cell>
          <cell r="D417">
            <v>96.763000000000005</v>
          </cell>
        </row>
        <row r="418">
          <cell r="C418" t="str">
            <v>Sutrisno Hadi Pranoto</v>
          </cell>
          <cell r="D418">
            <v>96.224000000000004</v>
          </cell>
        </row>
        <row r="419">
          <cell r="C419" t="str">
            <v>Sutrisno Hadi Pranoto</v>
          </cell>
          <cell r="D419">
            <v>95.805999999999997</v>
          </cell>
        </row>
        <row r="420">
          <cell r="C420" t="str">
            <v>Sutrisno Hadi Pranoto</v>
          </cell>
          <cell r="D420">
            <v>91.658000000000001</v>
          </cell>
        </row>
        <row r="421">
          <cell r="C421" t="str">
            <v>Sutrisno Hadi Pranoto</v>
          </cell>
          <cell r="D421">
            <v>92.292000000000002</v>
          </cell>
        </row>
        <row r="422">
          <cell r="C422" t="str">
            <v>Sutrisno Hadi Pranoto</v>
          </cell>
          <cell r="D422">
            <v>95.704999999999998</v>
          </cell>
        </row>
        <row r="423">
          <cell r="C423" t="str">
            <v>Sutrisno Hadi Pranoto</v>
          </cell>
          <cell r="D423">
            <v>95.765000000000001</v>
          </cell>
        </row>
        <row r="424">
          <cell r="C424" t="str">
            <v>Sutrisno Hadi Pranoto</v>
          </cell>
          <cell r="D424">
            <v>96.403999999999996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98.44</v>
          </cell>
        </row>
        <row r="427">
          <cell r="C427" t="str">
            <v>Bambang Dwi Raharjo</v>
          </cell>
          <cell r="D427">
            <v>97.481999999999999</v>
          </cell>
        </row>
        <row r="428">
          <cell r="C428" t="str">
            <v>Bambang Dwi Raharjo</v>
          </cell>
          <cell r="D428">
            <v>94.599000000000004</v>
          </cell>
        </row>
        <row r="429">
          <cell r="C429" t="str">
            <v>Bambang Dwi Raharjo</v>
          </cell>
          <cell r="D429">
            <v>97.350999999999999</v>
          </cell>
        </row>
        <row r="430">
          <cell r="C430" t="str">
            <v>Bambang Dwi Raharjo</v>
          </cell>
          <cell r="D430">
            <v>98.581999999999994</v>
          </cell>
        </row>
        <row r="431">
          <cell r="C431" t="str">
            <v>Bambang Dwi Raharjo</v>
          </cell>
          <cell r="D431">
            <v>96.703000000000003</v>
          </cell>
        </row>
        <row r="432">
          <cell r="C432" t="str">
            <v>Herry Kurniawan</v>
          </cell>
          <cell r="D432">
            <v>96.948999999999998</v>
          </cell>
        </row>
        <row r="433">
          <cell r="C433" t="str">
            <v>Herry Kurniawan</v>
          </cell>
          <cell r="D433">
            <v>94.914000000000001</v>
          </cell>
        </row>
        <row r="434">
          <cell r="C434" t="str">
            <v>Herry Kurniawan</v>
          </cell>
          <cell r="D434">
            <v>95.813999999999993</v>
          </cell>
        </row>
        <row r="435">
          <cell r="C435" t="str">
            <v>Herry Kurniawan</v>
          </cell>
          <cell r="D435">
            <v>98.349000000000004</v>
          </cell>
        </row>
        <row r="436">
          <cell r="C436" t="str">
            <v>Herry Kurniawan</v>
          </cell>
          <cell r="D436">
            <v>92.352999999999994</v>
          </cell>
        </row>
        <row r="437">
          <cell r="C437" t="str">
            <v>Herry Kurniawan</v>
          </cell>
          <cell r="D437">
            <v>96.632999999999996</v>
          </cell>
        </row>
        <row r="438">
          <cell r="C438" t="str">
            <v>Richard Siburian</v>
          </cell>
          <cell r="D438">
            <v>97.100999999999999</v>
          </cell>
        </row>
        <row r="439">
          <cell r="C439" t="str">
            <v>Richard Siburian</v>
          </cell>
          <cell r="D439">
            <v>97.373000000000005</v>
          </cell>
        </row>
        <row r="440">
          <cell r="C440" t="str">
            <v>Richard Siburian</v>
          </cell>
          <cell r="D440">
            <v>99.338999999999999</v>
          </cell>
        </row>
        <row r="441">
          <cell r="C441" t="str">
            <v>Richard Siburian</v>
          </cell>
          <cell r="D441">
            <v>96.542000000000002</v>
          </cell>
        </row>
        <row r="442">
          <cell r="C442" t="str">
            <v>Richard Siburian</v>
          </cell>
          <cell r="D442">
            <v>96.509</v>
          </cell>
        </row>
        <row r="443">
          <cell r="C443" t="str">
            <v>Richard Siburian</v>
          </cell>
          <cell r="D443">
            <v>95.667000000000002</v>
          </cell>
        </row>
        <row r="444">
          <cell r="C444" t="str">
            <v>Zulkarnain</v>
          </cell>
          <cell r="D444">
            <v>94.480999999999995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94.438000000000002</v>
          </cell>
        </row>
        <row r="447">
          <cell r="C447" t="str">
            <v>Zulkarnain</v>
          </cell>
          <cell r="D447">
            <v>95.149000000000001</v>
          </cell>
        </row>
        <row r="448">
          <cell r="C448" t="str">
            <v>Zulkarnain</v>
          </cell>
          <cell r="D448">
            <v>97.957999999999998</v>
          </cell>
        </row>
        <row r="449">
          <cell r="C449" t="str">
            <v>Zulkarnain</v>
          </cell>
          <cell r="D449">
            <v>95.320999999999998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95.926000000000002</v>
          </cell>
        </row>
        <row r="452">
          <cell r="C452" t="str">
            <v>Hany Pratiwi</v>
          </cell>
          <cell r="D452">
            <v>95.394999999999996</v>
          </cell>
        </row>
        <row r="453">
          <cell r="C453" t="str">
            <v>Hany Pratiwi</v>
          </cell>
          <cell r="D453">
            <v>97.009</v>
          </cell>
        </row>
        <row r="454">
          <cell r="C454" t="str">
            <v>Hany Pratiwi</v>
          </cell>
          <cell r="D454">
            <v>96.331000000000003</v>
          </cell>
        </row>
        <row r="455">
          <cell r="C455" t="str">
            <v>Hany Pratiwi</v>
          </cell>
          <cell r="D455">
            <v>95.661000000000001</v>
          </cell>
        </row>
        <row r="456">
          <cell r="C456" t="str">
            <v>Hany Pratiwi</v>
          </cell>
          <cell r="D456">
            <v>95.287000000000006</v>
          </cell>
        </row>
        <row r="457">
          <cell r="C457" t="str">
            <v>Hany Pratiwi</v>
          </cell>
          <cell r="D457">
            <v>97.537999999999997</v>
          </cell>
        </row>
        <row r="458">
          <cell r="C458" t="str">
            <v>Hany Pratiwi</v>
          </cell>
          <cell r="D458">
            <v>95.891999999999996</v>
          </cell>
        </row>
        <row r="459">
          <cell r="C459" t="str">
            <v>Hany Pratiwi</v>
          </cell>
          <cell r="D459">
            <v>96.816000000000003</v>
          </cell>
        </row>
        <row r="460">
          <cell r="C460" t="str">
            <v>Hany Pratiwi</v>
          </cell>
          <cell r="D460">
            <v>96.667000000000002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98.364000000000004</v>
          </cell>
        </row>
        <row r="463">
          <cell r="C463" t="str">
            <v>Reifika Dekrin</v>
          </cell>
          <cell r="D463">
            <v>95.724999999999994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96.933000000000007</v>
          </cell>
        </row>
        <row r="466">
          <cell r="C466" t="str">
            <v>Reifika Dekrin</v>
          </cell>
          <cell r="D466">
            <v>97.344999999999999</v>
          </cell>
        </row>
        <row r="467">
          <cell r="C467" t="str">
            <v>Reifika Dekrin</v>
          </cell>
          <cell r="D467">
            <v>96.058999999999997</v>
          </cell>
        </row>
        <row r="468">
          <cell r="C468" t="str">
            <v>Reifika Dekrin</v>
          </cell>
          <cell r="D468">
            <v>96.373999999999995</v>
          </cell>
        </row>
        <row r="469">
          <cell r="C469" t="str">
            <v>Reifika Dekrin</v>
          </cell>
          <cell r="D469">
            <v>97.447999999999993</v>
          </cell>
        </row>
        <row r="470">
          <cell r="C470" t="str">
            <v>Reifika Dekrin</v>
          </cell>
          <cell r="D470">
            <v>96.945999999999998</v>
          </cell>
        </row>
        <row r="471">
          <cell r="C471" t="str">
            <v>Reifika Dekrin</v>
          </cell>
          <cell r="D471">
            <v>95.332999999999998</v>
          </cell>
        </row>
        <row r="472">
          <cell r="C472" t="str">
            <v>Reifika Dekrin</v>
          </cell>
          <cell r="D472">
            <v>96.418000000000006</v>
          </cell>
        </row>
      </sheetData>
      <sheetData sheetId="5">
        <row r="2">
          <cell r="C2" t="str">
            <v>Andi Faisal Putra</v>
          </cell>
          <cell r="D2">
            <v>0.51648351648351698</v>
          </cell>
        </row>
        <row r="3">
          <cell r="C3" t="str">
            <v>Andi Faisal Putra</v>
          </cell>
          <cell r="D3">
            <v>0.592592592592593</v>
          </cell>
        </row>
        <row r="4">
          <cell r="C4" t="str">
            <v>Andi Faisal Putra</v>
          </cell>
          <cell r="D4">
            <v>0.97159090909090895</v>
          </cell>
        </row>
        <row r="5">
          <cell r="C5" t="str">
            <v>Andi Faisal Putra</v>
          </cell>
          <cell r="D5">
            <v>0.67785234899328894</v>
          </cell>
        </row>
        <row r="6">
          <cell r="C6" t="str">
            <v>Andi Faisal Putra</v>
          </cell>
          <cell r="D6">
            <v>0.475728155339806</v>
          </cell>
        </row>
        <row r="7">
          <cell r="C7" t="str">
            <v>Andi Faisal Putra</v>
          </cell>
          <cell r="D7">
            <v>0.63636363636363602</v>
          </cell>
        </row>
        <row r="8">
          <cell r="C8" t="str">
            <v>Andi Faisal Putra</v>
          </cell>
          <cell r="D8">
            <v>0.57868020304568502</v>
          </cell>
        </row>
        <row r="9">
          <cell r="C9" t="str">
            <v>Andi Faisal Putra</v>
          </cell>
          <cell r="D9">
            <v>0.57246376811594202</v>
          </cell>
        </row>
        <row r="10">
          <cell r="C10" t="str">
            <v>Andi Faisal Putra</v>
          </cell>
          <cell r="D10">
            <v>0.22289156626505999</v>
          </cell>
        </row>
        <row r="11">
          <cell r="C11" t="str">
            <v>Andi Faisal Putra</v>
          </cell>
          <cell r="D11">
            <v>0.85454545454545405</v>
          </cell>
        </row>
        <row r="12">
          <cell r="C12" t="str">
            <v>Andi Perkasa</v>
          </cell>
          <cell r="D12">
            <v>0.90909090909090895</v>
          </cell>
        </row>
        <row r="13">
          <cell r="C13" t="str">
            <v>Andi Perkasa</v>
          </cell>
          <cell r="D13">
            <v>0.79310344827586199</v>
          </cell>
        </row>
        <row r="14">
          <cell r="C14" t="str">
            <v>Andi Perkasa</v>
          </cell>
          <cell r="D14">
            <v>0.75151515151515103</v>
          </cell>
        </row>
        <row r="15">
          <cell r="C15" t="str">
            <v>Andi Perkasa</v>
          </cell>
          <cell r="D15">
            <v>0.57142857142857095</v>
          </cell>
        </row>
        <row r="16">
          <cell r="C16" t="str">
            <v>Andi Perkasa</v>
          </cell>
          <cell r="D16">
            <v>0.70833333333333304</v>
          </cell>
        </row>
        <row r="17">
          <cell r="C17" t="str">
            <v>Andi Perkasa</v>
          </cell>
          <cell r="D17">
            <v>5.1948051948051903E-2</v>
          </cell>
        </row>
        <row r="18">
          <cell r="C18" t="str">
            <v>Andi Perkasa</v>
          </cell>
          <cell r="D18">
            <v>0.68911917098445596</v>
          </cell>
        </row>
        <row r="19">
          <cell r="C19" t="str">
            <v>Andi Perkasa</v>
          </cell>
          <cell r="D19">
            <v>0.23529411764705899</v>
          </cell>
        </row>
        <row r="20">
          <cell r="C20" t="str">
            <v>Andi Perkasa</v>
          </cell>
          <cell r="D20">
            <v>0.50655021834061098</v>
          </cell>
        </row>
        <row r="21">
          <cell r="C21" t="str">
            <v>Janse Paburru</v>
          </cell>
          <cell r="D21">
            <v>0.63921568627450998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0.70414201183432001</v>
          </cell>
        </row>
        <row r="24">
          <cell r="C24" t="str">
            <v>Janse Paburru</v>
          </cell>
          <cell r="D24">
            <v>0.79296875</v>
          </cell>
        </row>
        <row r="25">
          <cell r="C25" t="str">
            <v>Janse Paburru</v>
          </cell>
          <cell r="D25">
            <v>0.54978354978355004</v>
          </cell>
        </row>
        <row r="26">
          <cell r="C26" t="str">
            <v>Janse Paburru</v>
          </cell>
          <cell r="D26">
            <v>0.64192139737991305</v>
          </cell>
        </row>
        <row r="27">
          <cell r="C27" t="str">
            <v>Janse Paburru</v>
          </cell>
          <cell r="D27">
            <v>0.92574257425742601</v>
          </cell>
        </row>
        <row r="28">
          <cell r="C28" t="str">
            <v>Janse Paburru</v>
          </cell>
          <cell r="D28">
            <v>0.939393939393939</v>
          </cell>
        </row>
        <row r="29">
          <cell r="C29" t="str">
            <v>M Sardi Rampo</v>
          </cell>
          <cell r="D29">
            <v>0.96124031007751898</v>
          </cell>
        </row>
        <row r="30">
          <cell r="C30" t="str">
            <v>M Sardi Rampo</v>
          </cell>
          <cell r="D30">
            <v>0.99056603773584895</v>
          </cell>
        </row>
        <row r="31">
          <cell r="C31" t="str">
            <v>M Sardi Rampo</v>
          </cell>
          <cell r="D31">
            <v>0.71563981042654001</v>
          </cell>
        </row>
        <row r="32">
          <cell r="C32" t="str">
            <v>M Sardi Rampo</v>
          </cell>
          <cell r="D32">
            <v>0.89642857142857102</v>
          </cell>
        </row>
        <row r="33">
          <cell r="C33" t="str">
            <v>M Sardi Rampo</v>
          </cell>
          <cell r="D33">
            <v>0.58403361344537796</v>
          </cell>
        </row>
        <row r="34">
          <cell r="C34" t="str">
            <v>M Sardi Rampo</v>
          </cell>
          <cell r="D34">
            <v>0.96256684491978595</v>
          </cell>
        </row>
        <row r="35">
          <cell r="C35" t="str">
            <v>M Sardi Rampo</v>
          </cell>
          <cell r="D35">
            <v>0.94581280788177302</v>
          </cell>
        </row>
        <row r="36">
          <cell r="C36" t="str">
            <v>M Sardi Rampo</v>
          </cell>
          <cell r="D36">
            <v>0.78606965174129295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0.79545454545454497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0.97090909090909105</v>
          </cell>
        </row>
        <row r="42">
          <cell r="C42" t="str">
            <v>Ariyanto B</v>
          </cell>
          <cell r="D42">
            <v>0.98198198198198205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0.95833333333333304</v>
          </cell>
        </row>
        <row r="45">
          <cell r="C45" t="str">
            <v>Ariyanto B</v>
          </cell>
          <cell r="D45">
            <v>0.99545454545454504</v>
          </cell>
        </row>
        <row r="46">
          <cell r="C46" t="str">
            <v>Ariyanto B</v>
          </cell>
          <cell r="D46">
            <v>0.98823529411764699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0.99653979238754298</v>
          </cell>
        </row>
        <row r="49">
          <cell r="C49" t="str">
            <v>Ryan Fabella Lisa</v>
          </cell>
          <cell r="D49">
            <v>0.99248120300751896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0.96958174904942995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0.78443113772455098</v>
          </cell>
        </row>
        <row r="56">
          <cell r="C56" t="str">
            <v>Rinaldi Wicaksana</v>
          </cell>
          <cell r="D56">
            <v>0.43678160919540199</v>
          </cell>
        </row>
        <row r="57">
          <cell r="C57" t="str">
            <v>Rinaldi Wicaksana</v>
          </cell>
          <cell r="D57">
            <v>0.83928571428571397</v>
          </cell>
        </row>
        <row r="58">
          <cell r="C58" t="str">
            <v>Rinaldi Wicaksana</v>
          </cell>
          <cell r="D58">
            <v>0.91011235955056202</v>
          </cell>
        </row>
        <row r="59">
          <cell r="C59" t="str">
            <v>Rinaldi Wicaksana</v>
          </cell>
          <cell r="D59">
            <v>0.86538461538461497</v>
          </cell>
        </row>
        <row r="60">
          <cell r="C60" t="str">
            <v>Rinaldi Wicaksana</v>
          </cell>
          <cell r="D60">
            <v>0.81506849315068497</v>
          </cell>
        </row>
        <row r="61">
          <cell r="C61" t="str">
            <v>Rinaldi Wicaksana</v>
          </cell>
          <cell r="D61">
            <v>0.47368421052631599</v>
          </cell>
        </row>
        <row r="62">
          <cell r="C62" t="str">
            <v>Rinaldi Wicaksana</v>
          </cell>
          <cell r="D62">
            <v>0.38842975206611602</v>
          </cell>
        </row>
        <row r="63">
          <cell r="C63" t="str">
            <v>Rinaldi Wicaksana</v>
          </cell>
          <cell r="D63">
            <v>0.78620689655172404</v>
          </cell>
        </row>
        <row r="64">
          <cell r="C64" t="str">
            <v>Rinaldi Wicaksana</v>
          </cell>
          <cell r="D64">
            <v>0.644067796610169</v>
          </cell>
        </row>
        <row r="65">
          <cell r="C65" t="str">
            <v>Rinaldi Wicaksana</v>
          </cell>
          <cell r="D65">
            <v>0.83259911894273098</v>
          </cell>
        </row>
        <row r="66">
          <cell r="C66" t="str">
            <v>Rinaldi Wicaksana</v>
          </cell>
          <cell r="D66">
            <v>0.63909774436090205</v>
          </cell>
        </row>
        <row r="67">
          <cell r="C67" t="str">
            <v>Rinaldi Wicaksana</v>
          </cell>
          <cell r="D67">
            <v>0.63855421686747005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0.81847133757961799</v>
          </cell>
        </row>
        <row r="71">
          <cell r="C71" t="str">
            <v>Imelda Mayestika P.</v>
          </cell>
          <cell r="D71">
            <v>0.87719298245613997</v>
          </cell>
        </row>
        <row r="72">
          <cell r="C72" t="str">
            <v>Imelda Mayestika P.</v>
          </cell>
          <cell r="D72">
            <v>0.70382165605095504</v>
          </cell>
        </row>
        <row r="73">
          <cell r="C73" t="str">
            <v>Imelda Mayestika P.</v>
          </cell>
          <cell r="D73">
            <v>0.60583941605839398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0.44541484716157198</v>
          </cell>
        </row>
        <row r="76">
          <cell r="C76" t="str">
            <v>Imelda Mayestika P.</v>
          </cell>
          <cell r="D76">
            <v>0.68487394957983205</v>
          </cell>
        </row>
        <row r="77">
          <cell r="C77" t="str">
            <v>Imelda Mayestika P.</v>
          </cell>
          <cell r="D77">
            <v>0.92976588628762502</v>
          </cell>
        </row>
        <row r="78">
          <cell r="C78" t="str">
            <v>Imelda Mayestika P.</v>
          </cell>
          <cell r="D78" t="str">
            <v>ema</v>
          </cell>
        </row>
        <row r="79">
          <cell r="C79" t="str">
            <v>Imelda Mayestika P.</v>
          </cell>
          <cell r="D79">
            <v>0.98148148148148096</v>
          </cell>
        </row>
        <row r="80">
          <cell r="C80" t="str">
            <v>Imelda Mayestika P.</v>
          </cell>
          <cell r="D80">
            <v>0.62068965517241403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0.51079136690647498</v>
          </cell>
        </row>
        <row r="83">
          <cell r="C83" t="str">
            <v>Imelda Mayestika P.</v>
          </cell>
          <cell r="D83">
            <v>0.53571428571428603</v>
          </cell>
        </row>
        <row r="84">
          <cell r="C84" t="str">
            <v>Imelda Mayestika P.</v>
          </cell>
          <cell r="D84">
            <v>0.98837209302325602</v>
          </cell>
        </row>
        <row r="85">
          <cell r="C85" t="str">
            <v>Imelda Mayestika P.</v>
          </cell>
          <cell r="D85">
            <v>0.90384615384615397</v>
          </cell>
        </row>
        <row r="86">
          <cell r="C86" t="str">
            <v>Imelda Mayestika P.</v>
          </cell>
          <cell r="D86">
            <v>0.57432432432432401</v>
          </cell>
        </row>
        <row r="87">
          <cell r="C87" t="str">
            <v>Imelda Mayestika P.</v>
          </cell>
          <cell r="D87">
            <v>0.79508196721311497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0.47305389221556898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0.86928104575163401</v>
          </cell>
        </row>
        <row r="92">
          <cell r="C92" t="str">
            <v>Imelda Mayestika P.</v>
          </cell>
          <cell r="D92">
            <v>0.57627118644067798</v>
          </cell>
        </row>
        <row r="93">
          <cell r="C93" t="str">
            <v>Imelda Mayestika P.</v>
          </cell>
          <cell r="D93">
            <v>0.63529411764705901</v>
          </cell>
        </row>
        <row r="94">
          <cell r="C94" t="str">
            <v>Imelda Mayestika P.</v>
          </cell>
          <cell r="D94">
            <v>0.46394230769230799</v>
          </cell>
        </row>
        <row r="95">
          <cell r="C95" t="str">
            <v>Imelda Mayestika P.</v>
          </cell>
          <cell r="D95">
            <v>0.6</v>
          </cell>
        </row>
        <row r="96">
          <cell r="C96" t="str">
            <v>Imelda Mayestika P.</v>
          </cell>
          <cell r="D96">
            <v>0.86842105263157898</v>
          </cell>
        </row>
        <row r="97">
          <cell r="C97" t="str">
            <v>Imelda Mayestika P.</v>
          </cell>
          <cell r="D97">
            <v>0.98750000000000004</v>
          </cell>
        </row>
        <row r="98">
          <cell r="C98" t="str">
            <v>Imelda Mayestika P.</v>
          </cell>
          <cell r="D98">
            <v>0.81081081081081097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0.82857142857142896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0.80921052631578905</v>
          </cell>
        </row>
        <row r="105">
          <cell r="C105" t="str">
            <v>Dewa Nyoman Wedana</v>
          </cell>
          <cell r="D105">
            <v>0.97169811320754695</v>
          </cell>
        </row>
        <row r="106">
          <cell r="C106" t="str">
            <v>Dewa Nyoman Wedana</v>
          </cell>
          <cell r="D106">
            <v>0.94584837545126399</v>
          </cell>
        </row>
        <row r="107">
          <cell r="C107" t="str">
            <v>Ida Bagus Pidada Manuaba</v>
          </cell>
          <cell r="D107">
            <v>0.98069498069498096</v>
          </cell>
        </row>
        <row r="108">
          <cell r="C108" t="str">
            <v>Ida Bagus Pidada Manuaba</v>
          </cell>
          <cell r="D108">
            <v>0.95620437956204396</v>
          </cell>
        </row>
        <row r="109">
          <cell r="C109" t="str">
            <v>Dewa Nyoman Wedana</v>
          </cell>
          <cell r="D109">
            <v>0.99082568807339499</v>
          </cell>
        </row>
        <row r="110">
          <cell r="C110" t="str">
            <v>I Made Budiartha</v>
          </cell>
          <cell r="D110">
            <v>0.81818181818181801</v>
          </cell>
        </row>
        <row r="111">
          <cell r="C111" t="str">
            <v>I Made Budiartha</v>
          </cell>
          <cell r="D111">
            <v>0.892405063291139</v>
          </cell>
        </row>
        <row r="112">
          <cell r="C112" t="str">
            <v>Dewa Nyoman Wedana</v>
          </cell>
          <cell r="D112">
            <v>0.48181818181818198</v>
          </cell>
        </row>
        <row r="113">
          <cell r="C113" t="str">
            <v>Dewa Nyoman Wedana</v>
          </cell>
          <cell r="D113">
            <v>0.97391304347826102</v>
          </cell>
        </row>
        <row r="114">
          <cell r="C114" t="str">
            <v>I Made Budiartha</v>
          </cell>
          <cell r="D114">
            <v>0.39202657807308999</v>
          </cell>
        </row>
        <row r="115">
          <cell r="C115" t="str">
            <v>I Made Budiartha</v>
          </cell>
          <cell r="D115">
            <v>0.93333333333333302</v>
          </cell>
        </row>
        <row r="116">
          <cell r="C116" t="str">
            <v>I Made Budiartha</v>
          </cell>
          <cell r="D116">
            <v>0.85263157894736796</v>
          </cell>
        </row>
        <row r="117">
          <cell r="C117" t="str">
            <v>Ida Bagus Pidada Manuaba</v>
          </cell>
          <cell r="D117">
            <v>0.93902439024390205</v>
          </cell>
        </row>
        <row r="118">
          <cell r="C118" t="str">
            <v>Ida Bagus Pidada Manuaba</v>
          </cell>
          <cell r="D118">
            <v>0.84482758620689702</v>
          </cell>
        </row>
        <row r="119">
          <cell r="C119" t="str">
            <v>I Made Budiartha</v>
          </cell>
          <cell r="D119">
            <v>0.98113207547169801</v>
          </cell>
        </row>
        <row r="120">
          <cell r="C120" t="str">
            <v>Dewa Nyoman Wedana</v>
          </cell>
          <cell r="D120">
            <v>0.68367346938775497</v>
          </cell>
        </row>
        <row r="121">
          <cell r="C121" t="str">
            <v>Ida Bagus Pidada Manuaba</v>
          </cell>
          <cell r="D121">
            <v>0.98780487804878003</v>
          </cell>
        </row>
        <row r="122">
          <cell r="C122" t="str">
            <v>Dewa Nyoman Wedana</v>
          </cell>
          <cell r="D122">
            <v>0.62179487179487203</v>
          </cell>
        </row>
        <row r="123">
          <cell r="C123" t="str">
            <v>I Made Budiartha</v>
          </cell>
          <cell r="D123">
            <v>0.81276595744680802</v>
          </cell>
        </row>
        <row r="124">
          <cell r="C124" t="str">
            <v>I Made Budiartha</v>
          </cell>
          <cell r="D124">
            <v>0.92366412213740501</v>
          </cell>
        </row>
        <row r="125">
          <cell r="C125" t="str">
            <v>Ida Bagus Pidada Manuaba</v>
          </cell>
          <cell r="D125">
            <v>0.97069597069597102</v>
          </cell>
        </row>
        <row r="126">
          <cell r="C126" t="str">
            <v>I Made Budiartha</v>
          </cell>
          <cell r="D126">
            <v>0.59322033898305104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0.90073529411764697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0.89230769230769202</v>
          </cell>
        </row>
        <row r="131">
          <cell r="C131" t="str">
            <v>Dewa Nyoman Wedana</v>
          </cell>
          <cell r="D131">
            <v>0.93617021276595702</v>
          </cell>
        </row>
        <row r="132">
          <cell r="C132" t="str">
            <v>Ida Bagus Pidada Manuaba</v>
          </cell>
          <cell r="D132">
            <v>0.56637168141592897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0.98684210526315796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0.97211155378486103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0.99636363636363601</v>
          </cell>
        </row>
        <row r="140">
          <cell r="C140" t="str">
            <v>Boby Sukmawijaya</v>
          </cell>
          <cell r="D140">
            <v>0.98230088495575196</v>
          </cell>
        </row>
        <row r="141">
          <cell r="C141" t="str">
            <v>Boby Sukmawijaya</v>
          </cell>
          <cell r="D141">
            <v>0.94594594594594605</v>
          </cell>
        </row>
        <row r="142">
          <cell r="C142" t="str">
            <v>Boby Sukmawijaya</v>
          </cell>
          <cell r="D142">
            <v>0.91489361702127703</v>
          </cell>
        </row>
        <row r="143">
          <cell r="C143" t="str">
            <v>Boby Sukmawijaya</v>
          </cell>
          <cell r="D143">
            <v>0.976377952755906</v>
          </cell>
        </row>
        <row r="144">
          <cell r="C144" t="str">
            <v>Boby Sukmawijaya</v>
          </cell>
          <cell r="D144">
            <v>0.86238532110091703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0.97540983606557397</v>
          </cell>
        </row>
        <row r="147">
          <cell r="C147" t="str">
            <v>Boby Sukmawijaya</v>
          </cell>
          <cell r="D147">
            <v>0.94680851063829796</v>
          </cell>
        </row>
        <row r="148">
          <cell r="C148" t="str">
            <v>Boby Sukmawijaya</v>
          </cell>
          <cell r="D148">
            <v>0.94537815126050395</v>
          </cell>
        </row>
        <row r="149">
          <cell r="C149" t="str">
            <v>Boby Sukmawijaya</v>
          </cell>
          <cell r="D149">
            <v>0.96226415094339601</v>
          </cell>
        </row>
        <row r="150">
          <cell r="C150" t="str">
            <v>Boby Sukmawijaya</v>
          </cell>
          <cell r="D150">
            <v>0.97333333333333305</v>
          </cell>
        </row>
        <row r="151">
          <cell r="C151" t="str">
            <v>Boby Sukmawijaya</v>
          </cell>
          <cell r="D151">
            <v>0.95112781954887204</v>
          </cell>
        </row>
        <row r="152">
          <cell r="C152" t="str">
            <v>Boby Sukmawijaya</v>
          </cell>
          <cell r="D152">
            <v>0.96862745098039205</v>
          </cell>
        </row>
        <row r="153">
          <cell r="C153" t="str">
            <v>Boby Sukmawijaya</v>
          </cell>
          <cell r="D153">
            <v>0.79562043795620396</v>
          </cell>
        </row>
        <row r="154">
          <cell r="C154" t="str">
            <v>Boby Sukmawijaya</v>
          </cell>
          <cell r="D154">
            <v>0.96153846153846201</v>
          </cell>
        </row>
        <row r="155">
          <cell r="C155" t="str">
            <v>Boby Sukmawijaya</v>
          </cell>
          <cell r="D155">
            <v>0.96573208722741399</v>
          </cell>
        </row>
        <row r="156">
          <cell r="C156" t="str">
            <v>Boby Sukmawijaya</v>
          </cell>
          <cell r="D156">
            <v>0.586666666666667</v>
          </cell>
        </row>
        <row r="157">
          <cell r="C157" t="str">
            <v>Boby Sukmawijaya</v>
          </cell>
          <cell r="D157">
            <v>0.99479166666666696</v>
          </cell>
        </row>
        <row r="158">
          <cell r="C158" t="str">
            <v>Boby Sukmawijaya</v>
          </cell>
          <cell r="D158">
            <v>0.90551181102362199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0.94845360824742297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0.98876404494381998</v>
          </cell>
        </row>
        <row r="163">
          <cell r="C163" t="str">
            <v>Boby Sukmawijaya</v>
          </cell>
          <cell r="D163">
            <v>0.9140625</v>
          </cell>
        </row>
        <row r="164">
          <cell r="C164" t="str">
            <v>Boby Sukmawijaya</v>
          </cell>
          <cell r="D164">
            <v>0.97887323943661997</v>
          </cell>
        </row>
        <row r="165">
          <cell r="C165" t="str">
            <v>Boby Sukmawijaya</v>
          </cell>
          <cell r="D165">
            <v>0.584699453551913</v>
          </cell>
        </row>
        <row r="166">
          <cell r="C166" t="str">
            <v>Boby Sukmawijaya</v>
          </cell>
          <cell r="D166">
            <v>0.97752808988763995</v>
          </cell>
        </row>
        <row r="167">
          <cell r="C167" t="str">
            <v>Boby Sukmawijaya</v>
          </cell>
          <cell r="D167">
            <v>0.99636363636363601</v>
          </cell>
        </row>
        <row r="168">
          <cell r="C168" t="str">
            <v>Boby Sukmawijaya</v>
          </cell>
          <cell r="D168">
            <v>0.56410256410256399</v>
          </cell>
        </row>
        <row r="169">
          <cell r="C169" t="str">
            <v>Boby Sukmawijaya</v>
          </cell>
          <cell r="D169">
            <v>0.76699029126213603</v>
          </cell>
        </row>
        <row r="170">
          <cell r="C170" t="str">
            <v>Boby Sukmawijaya</v>
          </cell>
          <cell r="D170">
            <v>0.96825396825396803</v>
          </cell>
        </row>
        <row r="171">
          <cell r="C171" t="str">
            <v>Boby Sukmawijaya</v>
          </cell>
          <cell r="D171">
            <v>0.71176470588235297</v>
          </cell>
        </row>
        <row r="172">
          <cell r="C172" t="str">
            <v>Boby Sukmawijaya</v>
          </cell>
          <cell r="D172">
            <v>0.99543378995433796</v>
          </cell>
        </row>
        <row r="173">
          <cell r="C173" t="str">
            <v>Boby Sukmawijaya</v>
          </cell>
          <cell r="D173">
            <v>0.97763578274760399</v>
          </cell>
        </row>
        <row r="174">
          <cell r="C174" t="str">
            <v>Boby Sukmawijaya</v>
          </cell>
          <cell r="D174">
            <v>0.60902255639097702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0.82962962962963005</v>
          </cell>
        </row>
        <row r="177">
          <cell r="C177" t="str">
            <v>Ari</v>
          </cell>
          <cell r="D177">
            <v>0.96598639455782298</v>
          </cell>
        </row>
        <row r="178">
          <cell r="C178" t="str">
            <v>Ari</v>
          </cell>
          <cell r="D178">
            <v>0.90147783251231495</v>
          </cell>
        </row>
        <row r="179">
          <cell r="C179" t="str">
            <v>Ari</v>
          </cell>
          <cell r="D179">
            <v>0.70854271356783904</v>
          </cell>
        </row>
        <row r="180">
          <cell r="C180" t="str">
            <v>Ari</v>
          </cell>
          <cell r="D180">
            <v>0.71764705882352897</v>
          </cell>
        </row>
        <row r="181">
          <cell r="C181" t="str">
            <v>Ari</v>
          </cell>
          <cell r="D181">
            <v>0.67153284671532798</v>
          </cell>
        </row>
        <row r="182">
          <cell r="C182" t="str">
            <v>Ari</v>
          </cell>
          <cell r="D182">
            <v>0.54870129870129902</v>
          </cell>
        </row>
        <row r="183">
          <cell r="C183" t="str">
            <v>Ari</v>
          </cell>
          <cell r="D183">
            <v>0.55913978494623595</v>
          </cell>
        </row>
        <row r="184">
          <cell r="C184" t="str">
            <v>Ari</v>
          </cell>
          <cell r="D184">
            <v>0.717741935483871</v>
          </cell>
        </row>
        <row r="185">
          <cell r="C185" t="str">
            <v>Ari</v>
          </cell>
          <cell r="D185">
            <v>0.83783783783783805</v>
          </cell>
        </row>
        <row r="186">
          <cell r="C186" t="str">
            <v>Helvi</v>
          </cell>
          <cell r="D186">
            <v>0.59109311740890702</v>
          </cell>
        </row>
        <row r="187">
          <cell r="C187" t="str">
            <v>Helvi</v>
          </cell>
          <cell r="D187">
            <v>0.96632996632996604</v>
          </cell>
        </row>
        <row r="188">
          <cell r="C188" t="str">
            <v>Helvi</v>
          </cell>
          <cell r="D188">
            <v>0.61702127659574502</v>
          </cell>
        </row>
        <row r="189">
          <cell r="C189" t="str">
            <v>Helvi</v>
          </cell>
          <cell r="D189">
            <v>0.98297872340425496</v>
          </cell>
        </row>
        <row r="190">
          <cell r="C190" t="str">
            <v>Helvi</v>
          </cell>
          <cell r="D190">
            <v>0.65986394557823103</v>
          </cell>
        </row>
        <row r="191">
          <cell r="C191" t="str">
            <v>Helvi</v>
          </cell>
          <cell r="D191">
            <v>0.77876106194690298</v>
          </cell>
        </row>
        <row r="192">
          <cell r="C192" t="str">
            <v>Helvi</v>
          </cell>
          <cell r="D192">
            <v>0.46376811594202899</v>
          </cell>
        </row>
        <row r="193">
          <cell r="C193" t="str">
            <v>Helvi</v>
          </cell>
          <cell r="D193">
            <v>0.85276073619631898</v>
          </cell>
        </row>
        <row r="194">
          <cell r="C194" t="str">
            <v>Helvi</v>
          </cell>
          <cell r="D194">
            <v>0.99038461538461497</v>
          </cell>
        </row>
        <row r="195">
          <cell r="C195" t="str">
            <v>Helvi</v>
          </cell>
          <cell r="D195">
            <v>0.27230046948356801</v>
          </cell>
        </row>
        <row r="196">
          <cell r="C196" t="str">
            <v>Helvi</v>
          </cell>
          <cell r="D196">
            <v>0.73958333333333304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0.99280575539568305</v>
          </cell>
        </row>
        <row r="201">
          <cell r="C201" t="str">
            <v>Ferdi Setiawan</v>
          </cell>
          <cell r="D201">
            <v>0.99086757990867602</v>
          </cell>
        </row>
        <row r="202">
          <cell r="C202" t="str">
            <v>Ferdi Setiawan</v>
          </cell>
          <cell r="D202">
            <v>0.99275362318840599</v>
          </cell>
        </row>
        <row r="203">
          <cell r="C203" t="str">
            <v>Ferdi Setiawan</v>
          </cell>
          <cell r="D203">
            <v>0.98328690807799402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0.98634812286689399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0.99062499999999998</v>
          </cell>
        </row>
        <row r="209">
          <cell r="C209" t="str">
            <v>Ferdi Setiawan</v>
          </cell>
          <cell r="D209">
            <v>0.97841726618705005</v>
          </cell>
        </row>
        <row r="210">
          <cell r="C210" t="str">
            <v>Ferdi Setiawan</v>
          </cell>
          <cell r="D210">
            <v>0.98603351955307295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0.49019607843137197</v>
          </cell>
        </row>
        <row r="214">
          <cell r="C214" t="str">
            <v>Gesang Jumadi</v>
          </cell>
          <cell r="D214">
            <v>0.79532163742689999</v>
          </cell>
        </row>
        <row r="215">
          <cell r="C215" t="str">
            <v>Gesang Jumadi</v>
          </cell>
          <cell r="D215">
            <v>0.47282608695652201</v>
          </cell>
        </row>
        <row r="216">
          <cell r="C216" t="str">
            <v>Gesang Jumadi</v>
          </cell>
          <cell r="D216">
            <v>0.36206896551724099</v>
          </cell>
        </row>
        <row r="217">
          <cell r="C217" t="str">
            <v>Gesang Jumadi</v>
          </cell>
          <cell r="D217">
            <v>0.24535315985130099</v>
          </cell>
        </row>
        <row r="218">
          <cell r="C218" t="str">
            <v>Gesang Jumadi</v>
          </cell>
          <cell r="D218">
            <v>0.49869451697127898</v>
          </cell>
        </row>
        <row r="219">
          <cell r="C219" t="str">
            <v>Gesang Jumadi</v>
          </cell>
          <cell r="D219">
            <v>0.32633587786259499</v>
          </cell>
        </row>
        <row r="220">
          <cell r="C220" t="str">
            <v>Gesang Jumadi</v>
          </cell>
          <cell r="D220">
            <v>0.591772151898734</v>
          </cell>
        </row>
        <row r="221">
          <cell r="C221" t="str">
            <v>Gesang Jumadi</v>
          </cell>
          <cell r="D221">
            <v>0.46607669616519198</v>
          </cell>
        </row>
        <row r="222">
          <cell r="C222" t="str">
            <v>Gesang Jumadi</v>
          </cell>
          <cell r="D222">
            <v>0.57452574525745304</v>
          </cell>
        </row>
        <row r="223">
          <cell r="C223" t="str">
            <v>Gesang Jumadi</v>
          </cell>
          <cell r="D223">
            <v>0.226299694189602</v>
          </cell>
        </row>
        <row r="224">
          <cell r="C224" t="str">
            <v>Gesang Jumadi</v>
          </cell>
          <cell r="D224">
            <v>0.894067796610169</v>
          </cell>
        </row>
        <row r="225">
          <cell r="C225" t="str">
            <v>Gesang Jumadi</v>
          </cell>
          <cell r="D225">
            <v>0.33119658119658102</v>
          </cell>
        </row>
        <row r="226">
          <cell r="C226" t="str">
            <v>Gesang Jumadi</v>
          </cell>
          <cell r="D226">
            <v>0.98194945848375403</v>
          </cell>
        </row>
        <row r="227">
          <cell r="C227" t="str">
            <v>Gesang Jumadi</v>
          </cell>
          <cell r="D227">
            <v>0.80254777070063699</v>
          </cell>
        </row>
        <row r="228">
          <cell r="C228" t="str">
            <v>Gumilar Rudimaya</v>
          </cell>
          <cell r="D228">
            <v>0.99494949494949503</v>
          </cell>
        </row>
        <row r="229">
          <cell r="C229" t="str">
            <v>Gumilar Rudimaya</v>
          </cell>
          <cell r="D229">
            <v>0.515021459227468</v>
          </cell>
        </row>
        <row r="230">
          <cell r="C230" t="str">
            <v>Gumilar Rudimaya</v>
          </cell>
          <cell r="D230">
            <v>0.73103448275862104</v>
          </cell>
        </row>
        <row r="231">
          <cell r="C231" t="str">
            <v>Gumilar Rudimaya</v>
          </cell>
          <cell r="D231">
            <v>0.79005524861878396</v>
          </cell>
        </row>
        <row r="232">
          <cell r="C232" t="str">
            <v>Gumilar Rudimaya</v>
          </cell>
          <cell r="D232">
            <v>0.47530864197530898</v>
          </cell>
        </row>
        <row r="233">
          <cell r="C233" t="str">
            <v>Gumilar Rudimaya</v>
          </cell>
          <cell r="D233">
            <v>0.73529411764705899</v>
          </cell>
        </row>
        <row r="234">
          <cell r="C234" t="str">
            <v>Gumilar Rudimaya</v>
          </cell>
          <cell r="D234">
            <v>0.79900744416873404</v>
          </cell>
        </row>
        <row r="235">
          <cell r="C235" t="str">
            <v>Gumilar Rudimaya</v>
          </cell>
          <cell r="D235">
            <v>0.53832752613240398</v>
          </cell>
        </row>
        <row r="236">
          <cell r="C236" t="str">
            <v>Gumilar Rudimaya</v>
          </cell>
          <cell r="D236">
            <v>0.15151515151515199</v>
          </cell>
        </row>
        <row r="237">
          <cell r="C237" t="str">
            <v>Gumilar Rudimaya</v>
          </cell>
          <cell r="D237">
            <v>0.288524590163934</v>
          </cell>
        </row>
        <row r="238">
          <cell r="C238" t="str">
            <v>Gumilar Rudimaya</v>
          </cell>
          <cell r="D238">
            <v>0.45081967213114799</v>
          </cell>
        </row>
        <row r="239">
          <cell r="C239" t="str">
            <v>Gumilar Rudimaya</v>
          </cell>
          <cell r="D239">
            <v>0.86428571428571399</v>
          </cell>
        </row>
        <row r="240">
          <cell r="C240" t="str">
            <v>Gumilar Rudimaya</v>
          </cell>
          <cell r="D240">
            <v>0.76880222841225598</v>
          </cell>
        </row>
        <row r="241">
          <cell r="C241" t="str">
            <v>Gumilar Rudimaya</v>
          </cell>
          <cell r="D241">
            <v>0.45859872611465002</v>
          </cell>
        </row>
        <row r="242">
          <cell r="C242" t="str">
            <v>Gumilar Rudimaya</v>
          </cell>
          <cell r="D242">
            <v>0.40463458110516898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0.99173553719008301</v>
          </cell>
        </row>
        <row r="246">
          <cell r="C246" t="str">
            <v>Indra Jantana</v>
          </cell>
          <cell r="D246">
            <v>0.99137931034482796</v>
          </cell>
        </row>
        <row r="247">
          <cell r="C247" t="str">
            <v>Indra Jantana</v>
          </cell>
          <cell r="D247">
            <v>0.91780821917808197</v>
          </cell>
        </row>
        <row r="248">
          <cell r="C248" t="str">
            <v>Indra Jantana</v>
          </cell>
          <cell r="D248">
            <v>0.98611111111111105</v>
          </cell>
        </row>
        <row r="249">
          <cell r="C249" t="str">
            <v>Indra Jantana</v>
          </cell>
          <cell r="D249">
            <v>0.77477477477477497</v>
          </cell>
        </row>
        <row r="250">
          <cell r="C250" t="str">
            <v>Indra Jantana</v>
          </cell>
          <cell r="D250">
            <v>0.73245614035087703</v>
          </cell>
        </row>
        <row r="251">
          <cell r="C251" t="str">
            <v>Indra Jantana</v>
          </cell>
          <cell r="D251">
            <v>0.85416666666666696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0.894389438943894</v>
          </cell>
        </row>
        <row r="255">
          <cell r="C255" t="str">
            <v>Indra Jantana</v>
          </cell>
          <cell r="D255">
            <v>0.93600000000000005</v>
          </cell>
        </row>
        <row r="256">
          <cell r="C256" t="str">
            <v>Indra Jantana</v>
          </cell>
          <cell r="D256">
            <v>0.98387096774193505</v>
          </cell>
        </row>
        <row r="257">
          <cell r="C257" t="str">
            <v>Indra Jantana</v>
          </cell>
          <cell r="D257">
            <v>0.88085106382978695</v>
          </cell>
        </row>
        <row r="258">
          <cell r="C258" t="str">
            <v>Indra Jantana</v>
          </cell>
          <cell r="D258">
            <v>0.94915254237288105</v>
          </cell>
        </row>
        <row r="259">
          <cell r="C259" t="str">
            <v>Indra Jantana</v>
          </cell>
          <cell r="D259">
            <v>0.81871345029239795</v>
          </cell>
        </row>
        <row r="260">
          <cell r="C260" t="str">
            <v>Indra Jantana</v>
          </cell>
          <cell r="D260">
            <v>0.90099009900990101</v>
          </cell>
        </row>
        <row r="261">
          <cell r="C261" t="str">
            <v>Indra Jantana</v>
          </cell>
          <cell r="D261">
            <v>0.85882352941176499</v>
          </cell>
        </row>
        <row r="262">
          <cell r="C262" t="str">
            <v>Indra Jantana</v>
          </cell>
          <cell r="D262">
            <v>0.96969696969696995</v>
          </cell>
        </row>
        <row r="263">
          <cell r="C263" t="str">
            <v>Indra Jantana</v>
          </cell>
          <cell r="D263">
            <v>0.875</v>
          </cell>
        </row>
        <row r="264">
          <cell r="C264" t="str">
            <v>Indra Jantana</v>
          </cell>
          <cell r="D264">
            <v>0.79508196721311497</v>
          </cell>
        </row>
        <row r="265">
          <cell r="C265" t="str">
            <v>Indra Jantana</v>
          </cell>
          <cell r="D265">
            <v>0.94736842105263097</v>
          </cell>
        </row>
        <row r="266">
          <cell r="C266" t="str">
            <v>Indra Jantana</v>
          </cell>
          <cell r="D266">
            <v>0.98947368421052595</v>
          </cell>
        </row>
        <row r="267">
          <cell r="C267" t="str">
            <v>Indra Jantana</v>
          </cell>
          <cell r="D267">
            <v>0.97499999999999998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0.70652173913043503</v>
          </cell>
        </row>
        <row r="270">
          <cell r="C270" t="str">
            <v>Yudi Wahyudi</v>
          </cell>
          <cell r="D270">
            <v>0.99047619047618995</v>
          </cell>
        </row>
        <row r="271">
          <cell r="C271" t="str">
            <v>Yudi Wahyudi</v>
          </cell>
          <cell r="D271">
            <v>0.93023255813953498</v>
          </cell>
        </row>
        <row r="272">
          <cell r="C272" t="str">
            <v>Yudi Wahyudi</v>
          </cell>
          <cell r="D272">
            <v>0.77777777777777801</v>
          </cell>
        </row>
        <row r="273">
          <cell r="C273" t="str">
            <v>Yudi Wahyudi</v>
          </cell>
          <cell r="D273">
            <v>0.74603174603174605</v>
          </cell>
        </row>
        <row r="274">
          <cell r="C274" t="str">
            <v>Yudi Wahyudi</v>
          </cell>
          <cell r="D274">
            <v>0.91964285714285698</v>
          </cell>
        </row>
        <row r="275">
          <cell r="C275" t="str">
            <v>Yudi Wahyudi</v>
          </cell>
          <cell r="D275">
            <v>0.67948717948717896</v>
          </cell>
        </row>
        <row r="276">
          <cell r="C276" t="str">
            <v>Yudi Wahyudi</v>
          </cell>
          <cell r="D276">
            <v>0.782258064516129</v>
          </cell>
        </row>
        <row r="277">
          <cell r="C277" t="str">
            <v>Yudi Wahyudi</v>
          </cell>
          <cell r="D277">
            <v>0.66666666666666696</v>
          </cell>
        </row>
        <row r="278">
          <cell r="C278" t="str">
            <v>Yudi Wahyudi</v>
          </cell>
          <cell r="D278">
            <v>0.96511627906976705</v>
          </cell>
        </row>
        <row r="279">
          <cell r="C279" t="str">
            <v>Yudi Wahyudi</v>
          </cell>
          <cell r="D279">
            <v>0.8</v>
          </cell>
        </row>
        <row r="280">
          <cell r="C280" t="str">
            <v>Yudi Wahyudi</v>
          </cell>
          <cell r="D280">
            <v>0.70769230769230795</v>
          </cell>
        </row>
        <row r="281">
          <cell r="C281" t="str">
            <v>Yudi Wahyudi</v>
          </cell>
          <cell r="D281">
            <v>0.97916666666666696</v>
          </cell>
        </row>
        <row r="282">
          <cell r="C282" t="str">
            <v>Yudi Wahyudi</v>
          </cell>
          <cell r="D282">
            <v>0.92857142857142905</v>
          </cell>
        </row>
        <row r="283">
          <cell r="C283" t="str">
            <v>Yudi Wahyudi</v>
          </cell>
          <cell r="D283">
            <v>0.94029850746268695</v>
          </cell>
        </row>
        <row r="284">
          <cell r="C284" t="str">
            <v>Yudi Wahyudi</v>
          </cell>
          <cell r="D284">
            <v>0.68387096774193501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0.92660550458715596</v>
          </cell>
        </row>
        <row r="287">
          <cell r="C287" t="str">
            <v>Yudi Wahyudi</v>
          </cell>
          <cell r="D287">
            <v>0.67241379310344795</v>
          </cell>
        </row>
        <row r="288">
          <cell r="C288" t="str">
            <v>Yudi Wahyudi</v>
          </cell>
          <cell r="D288">
            <v>0.51627906976744198</v>
          </cell>
        </row>
        <row r="289">
          <cell r="C289" t="str">
            <v>Yudi Wahyudi</v>
          </cell>
          <cell r="D289">
            <v>0.61724137931034495</v>
          </cell>
        </row>
        <row r="290">
          <cell r="C290" t="str">
            <v>Yudi Wahyudi</v>
          </cell>
          <cell r="D290">
            <v>0.58620689655172398</v>
          </cell>
        </row>
        <row r="291">
          <cell r="C291" t="str">
            <v>Yudi Wahyudi</v>
          </cell>
          <cell r="D291">
            <v>0.80519480519480502</v>
          </cell>
        </row>
        <row r="292">
          <cell r="C292" t="str">
            <v>Yudi Wahyudi</v>
          </cell>
          <cell r="D292">
            <v>0.72448979591836704</v>
          </cell>
        </row>
        <row r="293">
          <cell r="C293" t="str">
            <v>Yudi Wahyudi</v>
          </cell>
          <cell r="D293">
            <v>0.70270270270270296</v>
          </cell>
        </row>
        <row r="294">
          <cell r="C294" t="str">
            <v>Yudi Wahyudi</v>
          </cell>
          <cell r="D294">
            <v>0.96363636363636396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0.99148936170212798</v>
          </cell>
        </row>
        <row r="297">
          <cell r="C297" t="str">
            <v>Febri Dwi Prabowo</v>
          </cell>
          <cell r="D297">
            <v>0.96610169491525399</v>
          </cell>
        </row>
        <row r="298">
          <cell r="C298" t="str">
            <v>Febri Dwi Prabowo</v>
          </cell>
          <cell r="D298">
            <v>0.94594594594594605</v>
          </cell>
        </row>
        <row r="299">
          <cell r="C299" t="str">
            <v>Febri Dwi Prabowo</v>
          </cell>
          <cell r="D299">
            <v>0.97674418604651203</v>
          </cell>
        </row>
        <row r="300">
          <cell r="C300" t="str">
            <v>Febri Dwi Prabowo</v>
          </cell>
          <cell r="D300">
            <v>0.92795389048991295</v>
          </cell>
        </row>
        <row r="301">
          <cell r="C301" t="str">
            <v>Febri Dwi Prabowo</v>
          </cell>
          <cell r="D301">
            <v>0.99734042553191504</v>
          </cell>
        </row>
        <row r="302">
          <cell r="C302" t="str">
            <v>Febri Dwi Prabowo</v>
          </cell>
          <cell r="D302">
            <v>0.97101449275362295</v>
          </cell>
        </row>
        <row r="303">
          <cell r="C303" t="str">
            <v>Febri Dwi Prabowo</v>
          </cell>
          <cell r="D303">
            <v>0.974619289340102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0.99261992619926198</v>
          </cell>
        </row>
        <row r="306">
          <cell r="C306" t="str">
            <v>Febri Dwi Prabowo</v>
          </cell>
          <cell r="D306">
            <v>0.97391304347826102</v>
          </cell>
        </row>
        <row r="307">
          <cell r="C307" t="str">
            <v>Febri Dwi Prabowo</v>
          </cell>
          <cell r="D307">
            <v>0.967592592592593</v>
          </cell>
        </row>
        <row r="308">
          <cell r="C308" t="str">
            <v>Febri Dwi Prabowo</v>
          </cell>
          <cell r="D308">
            <v>0.75721153846153799</v>
          </cell>
        </row>
        <row r="309">
          <cell r="C309" t="str">
            <v>Made Windu Kuntara</v>
          </cell>
          <cell r="D309">
            <v>0.90277777777777801</v>
          </cell>
        </row>
        <row r="310">
          <cell r="C310" t="str">
            <v>Made Windu Kuntara</v>
          </cell>
          <cell r="D310">
            <v>0.97450980392156905</v>
          </cell>
        </row>
        <row r="311">
          <cell r="C311" t="str">
            <v>Made Windu Kuntara</v>
          </cell>
          <cell r="D311">
            <v>0.83590733590733601</v>
          </cell>
        </row>
        <row r="312">
          <cell r="C312" t="str">
            <v>Made Windu Kuntara</v>
          </cell>
          <cell r="D312">
            <v>0.99727520435967298</v>
          </cell>
        </row>
        <row r="313">
          <cell r="C313" t="str">
            <v>Made Windu Kuntara</v>
          </cell>
          <cell r="D313">
            <v>0.97297297297297303</v>
          </cell>
        </row>
        <row r="314">
          <cell r="C314" t="str">
            <v>Made Windu Kuntara</v>
          </cell>
          <cell r="D314">
            <v>0.93382352941176505</v>
          </cell>
        </row>
        <row r="315">
          <cell r="C315" t="str">
            <v>Made Windu Kuntara</v>
          </cell>
          <cell r="D315">
            <v>0.97472924187725596</v>
          </cell>
        </row>
        <row r="316">
          <cell r="C316" t="str">
            <v>Made Windu Kuntara</v>
          </cell>
          <cell r="D316">
            <v>0.942408376963351</v>
          </cell>
        </row>
        <row r="317">
          <cell r="C317" t="str">
            <v>Made Windu Kuntara</v>
          </cell>
          <cell r="D317">
            <v>0.87671232876712302</v>
          </cell>
        </row>
        <row r="318">
          <cell r="C318" t="str">
            <v>Made Windu Kuntara</v>
          </cell>
          <cell r="D318">
            <v>0.99162011173184395</v>
          </cell>
        </row>
        <row r="319">
          <cell r="C319" t="str">
            <v>Made Windu Kuntara</v>
          </cell>
          <cell r="D319">
            <v>0.92727272727272703</v>
          </cell>
        </row>
        <row r="320">
          <cell r="C320" t="str">
            <v>Made Windu Kuntara</v>
          </cell>
          <cell r="D320">
            <v>0.96521739130434803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0.99492385786801996</v>
          </cell>
        </row>
        <row r="323">
          <cell r="C323" t="str">
            <v>Jusuf Charles Rumende (PN : 00059432)</v>
          </cell>
          <cell r="D323">
            <v>0.97807017543859698</v>
          </cell>
        </row>
        <row r="324">
          <cell r="C324" t="str">
            <v>Jusuf Charles Rumende (PN : 00059432)</v>
          </cell>
          <cell r="D324">
            <v>0.94927536231884102</v>
          </cell>
        </row>
        <row r="325">
          <cell r="C325" t="str">
            <v>Jusuf Charles Rumende (PN : 00059432)</v>
          </cell>
          <cell r="D325">
            <v>0.99606299212598404</v>
          </cell>
        </row>
        <row r="326">
          <cell r="C326" t="str">
            <v>Jusuf Charles Rumende (PN : 00059432)</v>
          </cell>
          <cell r="D326">
            <v>0.95081967213114704</v>
          </cell>
        </row>
        <row r="327">
          <cell r="C327" t="str">
            <v>Jusuf Charles Rumende (PN : 00059432)</v>
          </cell>
          <cell r="D327">
            <v>0.95833333333333304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0.98148148148148096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0.92873051224944303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0.94705882352941195</v>
          </cell>
        </row>
        <row r="334">
          <cell r="C334" t="str">
            <v>Jusuf Charles Rumende (PN : 00059432)</v>
          </cell>
          <cell r="D334">
            <v>0.97540983606557397</v>
          </cell>
        </row>
        <row r="335">
          <cell r="C335" t="str">
            <v>Jusuf Charles Rumende (PN : 00059432)</v>
          </cell>
          <cell r="D335">
            <v>0.86335403726708104</v>
          </cell>
        </row>
        <row r="336">
          <cell r="C336" t="str">
            <v>Jusuf Charles Rumende (PN : 00059432)</v>
          </cell>
          <cell r="D336">
            <v>0.94915254237288105</v>
          </cell>
        </row>
        <row r="337">
          <cell r="C337" t="str">
            <v>Jusuf Charles Rumende (PN : 00059432)</v>
          </cell>
          <cell r="D337">
            <v>0.98648648648648596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0.95057034220532299</v>
          </cell>
        </row>
        <row r="340">
          <cell r="C340" t="str">
            <v>Jusuf Charles Rumende (PN : 00059432)</v>
          </cell>
          <cell r="D340">
            <v>0.96825396825396803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0.92569659442724495</v>
          </cell>
        </row>
        <row r="344">
          <cell r="C344" t="str">
            <v>Syamsul Arifianto</v>
          </cell>
          <cell r="D344">
            <v>0.66666666666666696</v>
          </cell>
        </row>
        <row r="345">
          <cell r="C345" t="str">
            <v>Syamsul Arifianto</v>
          </cell>
          <cell r="D345">
            <v>0.94472361809045202</v>
          </cell>
        </row>
        <row r="346">
          <cell r="C346" t="str">
            <v>Syamsul Arifianto</v>
          </cell>
          <cell r="D346">
            <v>0.95</v>
          </cell>
        </row>
        <row r="347">
          <cell r="C347" t="str">
            <v>Syamsul Arifianto</v>
          </cell>
          <cell r="D347">
            <v>0.98256735340728996</v>
          </cell>
        </row>
        <row r="348">
          <cell r="C348" t="str">
            <v>Syamsul Arifianto</v>
          </cell>
          <cell r="D348">
            <v>0.99186991869918695</v>
          </cell>
        </row>
        <row r="349">
          <cell r="C349" t="str">
            <v>Syamsul Arifianto</v>
          </cell>
          <cell r="D349">
            <v>0.96288209606986896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0.96694214876033102</v>
          </cell>
        </row>
        <row r="352">
          <cell r="C352" t="str">
            <v>Syamsul Arifianto</v>
          </cell>
          <cell r="D352">
            <v>0.98780487804878003</v>
          </cell>
        </row>
        <row r="353">
          <cell r="C353" t="str">
            <v>Syamsul Arifianto</v>
          </cell>
          <cell r="D353">
            <v>0.992307692307692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0.94196428571428603</v>
          </cell>
        </row>
        <row r="356">
          <cell r="C356" t="str">
            <v>Veronica Dwi Kurniasih</v>
          </cell>
          <cell r="D356">
            <v>0.69152542372881298</v>
          </cell>
        </row>
        <row r="357">
          <cell r="C357" t="str">
            <v>Veronica Dwi Kurniasih</v>
          </cell>
          <cell r="D357">
            <v>0.99191374663072795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0.97530864197530898</v>
          </cell>
        </row>
        <row r="360">
          <cell r="C360" t="str">
            <v>Veronica Dwi Kurniasih</v>
          </cell>
          <cell r="D360">
            <v>0.95374449339207001</v>
          </cell>
        </row>
        <row r="361">
          <cell r="C361" t="str">
            <v>Veronica Dwi Kurniasih</v>
          </cell>
          <cell r="D361">
            <v>0.99363057324840798</v>
          </cell>
        </row>
        <row r="362">
          <cell r="C362" t="str">
            <v>Veronica Dwi Kurniasih</v>
          </cell>
          <cell r="D362">
            <v>0.98031496062992096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0.49797570850202399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0.99664429530201304</v>
          </cell>
        </row>
        <row r="367">
          <cell r="C367" t="str">
            <v>Asep Kristiono</v>
          </cell>
          <cell r="D367">
            <v>0.92838874680306904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0.98760330578512401</v>
          </cell>
        </row>
        <row r="371">
          <cell r="C371" t="str">
            <v>Asep Kristiono</v>
          </cell>
          <cell r="D371">
            <v>0.99534883720930201</v>
          </cell>
        </row>
        <row r="372">
          <cell r="C372" t="str">
            <v>Asep Kristiono</v>
          </cell>
          <cell r="D372">
            <v>0.98004434589800404</v>
          </cell>
        </row>
        <row r="373">
          <cell r="C373" t="str">
            <v>Asep Kristiono</v>
          </cell>
          <cell r="D373">
            <v>0.99111111111111105</v>
          </cell>
        </row>
        <row r="374">
          <cell r="C374" t="str">
            <v>Asep Kristiono</v>
          </cell>
          <cell r="D374">
            <v>0.96739130434782605</v>
          </cell>
        </row>
        <row r="375">
          <cell r="C375" t="str">
            <v>Asep Kristiono</v>
          </cell>
          <cell r="D375">
            <v>0.987341772151899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0.98920863309352502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0.96296296296296302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0.96491228070175405</v>
          </cell>
        </row>
        <row r="384">
          <cell r="C384" t="str">
            <v>Dian Septianti</v>
          </cell>
          <cell r="D384">
            <v>0.98518518518518505</v>
          </cell>
        </row>
        <row r="385">
          <cell r="C385" t="str">
            <v>Dian Septianti</v>
          </cell>
          <cell r="D385">
            <v>0.99111111111111105</v>
          </cell>
        </row>
        <row r="386">
          <cell r="C386" t="str">
            <v>Dian Septianti</v>
          </cell>
          <cell r="D386">
            <v>0.99565217391304295</v>
          </cell>
        </row>
        <row r="387">
          <cell r="C387" t="str">
            <v>Dian Septianti</v>
          </cell>
          <cell r="D387">
            <v>0.99285714285714299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0.99638989169675096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0.93239436619718297</v>
          </cell>
        </row>
        <row r="393">
          <cell r="C393" t="str">
            <v>Waras Suyitno</v>
          </cell>
          <cell r="D393">
            <v>0.99672131147540999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0.96374622356495498</v>
          </cell>
        </row>
        <row r="397">
          <cell r="C397" t="str">
            <v>Waras Suyitno</v>
          </cell>
          <cell r="D397">
            <v>0.98089171974522305</v>
          </cell>
        </row>
        <row r="398">
          <cell r="C398" t="str">
            <v>Waras Suyitno</v>
          </cell>
          <cell r="D398">
            <v>0.99647887323943696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0.96825396825396803</v>
          </cell>
        </row>
        <row r="401">
          <cell r="C401" t="str">
            <v>Moch. Arief Budiman</v>
          </cell>
          <cell r="D401">
            <v>0.69169960474308301</v>
          </cell>
        </row>
        <row r="402">
          <cell r="C402" t="str">
            <v>Moch. Arief Budiman</v>
          </cell>
          <cell r="D402">
            <v>0.98960498960498999</v>
          </cell>
        </row>
        <row r="403">
          <cell r="C403" t="str">
            <v>Moch. Arief Budiman</v>
          </cell>
          <cell r="D403">
            <v>0.96354166666666696</v>
          </cell>
        </row>
        <row r="404">
          <cell r="C404" t="str">
            <v>Moch. Arief Budiman</v>
          </cell>
          <cell r="D404">
            <v>0.972568578553616</v>
          </cell>
        </row>
        <row r="405">
          <cell r="C405" t="str">
            <v>Moch. Arief Budiman</v>
          </cell>
          <cell r="D405">
            <v>0.90909090909090895</v>
          </cell>
        </row>
        <row r="406">
          <cell r="C406" t="str">
            <v>Moch. Arief Budiman</v>
          </cell>
          <cell r="D406">
            <v>0.860759493670886</v>
          </cell>
        </row>
        <row r="407">
          <cell r="C407" t="str">
            <v>Moch. Arief Budiman</v>
          </cell>
          <cell r="D407">
            <v>0.76551724137930999</v>
          </cell>
        </row>
        <row r="408">
          <cell r="C408" t="str">
            <v>Rukiyat Prihantoko</v>
          </cell>
          <cell r="D408">
            <v>0.96744186046511604</v>
          </cell>
        </row>
        <row r="409">
          <cell r="C409" t="str">
            <v>Rukiyat Prihantoko</v>
          </cell>
          <cell r="D409">
            <v>0.85185185185185197</v>
          </cell>
        </row>
        <row r="410">
          <cell r="C410" t="str">
            <v>Rukiyat Prihantoko</v>
          </cell>
          <cell r="D410">
            <v>0.96797153024910998</v>
          </cell>
        </row>
        <row r="411">
          <cell r="C411" t="str">
            <v>Rukiyat Prihantoko</v>
          </cell>
          <cell r="D411">
            <v>0.82962962962963005</v>
          </cell>
        </row>
        <row r="412">
          <cell r="C412" t="str">
            <v>Rukiyat Prihantoko</v>
          </cell>
          <cell r="D412">
            <v>0.9375</v>
          </cell>
        </row>
        <row r="413">
          <cell r="C413" t="str">
            <v>Rukiyat Prihantoko</v>
          </cell>
          <cell r="D413">
            <v>0.74100719424460404</v>
          </cell>
        </row>
        <row r="414">
          <cell r="C414" t="str">
            <v>Rukiyat Prihantoko</v>
          </cell>
          <cell r="D414">
            <v>0.53773584905660399</v>
          </cell>
        </row>
        <row r="415">
          <cell r="C415" t="str">
            <v>Rukiyat Prihantoko</v>
          </cell>
          <cell r="D415">
            <v>0.94160583941605802</v>
          </cell>
        </row>
        <row r="416">
          <cell r="C416" t="str">
            <v>Rukiyat Prihantoko</v>
          </cell>
          <cell r="D416">
            <v>0.73456790123456805</v>
          </cell>
        </row>
        <row r="417">
          <cell r="C417" t="str">
            <v>Sutrisno Hadi Pranoto</v>
          </cell>
          <cell r="D417">
            <v>0.94077448747152603</v>
          </cell>
        </row>
        <row r="418">
          <cell r="C418" t="str">
            <v>Sutrisno Hadi Pranoto</v>
          </cell>
          <cell r="D418">
            <v>0.93763440860214997</v>
          </cell>
        </row>
        <row r="419">
          <cell r="C419" t="str">
            <v>Sutrisno Hadi Pranoto</v>
          </cell>
          <cell r="D419">
            <v>0.87570621468926602</v>
          </cell>
        </row>
        <row r="420">
          <cell r="C420" t="str">
            <v>Sutrisno Hadi Pranoto</v>
          </cell>
          <cell r="D420">
            <v>0.92093023255813999</v>
          </cell>
        </row>
        <row r="421">
          <cell r="C421" t="str">
            <v>Sutrisno Hadi Pranoto</v>
          </cell>
          <cell r="D421">
            <v>0.84210526315789502</v>
          </cell>
        </row>
        <row r="422">
          <cell r="C422" t="str">
            <v>Sutrisno Hadi Pranoto</v>
          </cell>
          <cell r="D422">
            <v>0.987341772151899</v>
          </cell>
        </row>
        <row r="423">
          <cell r="C423" t="str">
            <v>Sutrisno Hadi Pranoto</v>
          </cell>
          <cell r="D423">
            <v>0.91891891891891897</v>
          </cell>
        </row>
        <row r="424">
          <cell r="C424" t="str">
            <v>Sutrisno Hadi Pranoto</v>
          </cell>
          <cell r="D424">
            <v>0.80851063829787195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0.93377483443708598</v>
          </cell>
        </row>
        <row r="427">
          <cell r="C427" t="str">
            <v>Bambang Dwi Raharjo</v>
          </cell>
          <cell r="D427">
            <v>0.98581560283687897</v>
          </cell>
        </row>
        <row r="428">
          <cell r="C428" t="str">
            <v>Bambang Dwi Raharjo</v>
          </cell>
          <cell r="D428">
            <v>0.94758064516129004</v>
          </cell>
        </row>
        <row r="429">
          <cell r="C429" t="str">
            <v>Bambang Dwi Raharjo</v>
          </cell>
          <cell r="D429">
            <v>0.99628252788104099</v>
          </cell>
        </row>
        <row r="430">
          <cell r="C430" t="str">
            <v>Bambang Dwi Raharjo</v>
          </cell>
          <cell r="D430">
            <v>0.90540540540540504</v>
          </cell>
        </row>
        <row r="431">
          <cell r="C431" t="str">
            <v>Bambang Dwi Raharjo</v>
          </cell>
          <cell r="D431">
            <v>0.7109375</v>
          </cell>
        </row>
        <row r="432">
          <cell r="C432" t="str">
            <v>Herry Kurniawan</v>
          </cell>
          <cell r="D432">
            <v>0.69587628865979401</v>
          </cell>
        </row>
        <row r="433">
          <cell r="C433" t="str">
            <v>Herry Kurniawan</v>
          </cell>
          <cell r="D433">
            <v>0.75496688741721796</v>
          </cell>
        </row>
        <row r="434">
          <cell r="C434" t="str">
            <v>Herry Kurniawan</v>
          </cell>
          <cell r="D434">
            <v>0.90140845070422504</v>
          </cell>
        </row>
        <row r="435">
          <cell r="C435" t="str">
            <v>Herry Kurniawan</v>
          </cell>
          <cell r="D435">
            <v>0.98198198198198205</v>
          </cell>
        </row>
        <row r="436">
          <cell r="C436" t="str">
            <v>Herry Kurniawan</v>
          </cell>
          <cell r="D436">
            <v>0.47393364928909998</v>
          </cell>
        </row>
        <row r="437">
          <cell r="C437" t="str">
            <v>Herry Kurniawan</v>
          </cell>
          <cell r="D437">
            <v>0.92018779342723001</v>
          </cell>
        </row>
        <row r="438">
          <cell r="C438" t="str">
            <v>Richard Siburian</v>
          </cell>
          <cell r="D438">
            <v>0.99280575539568305</v>
          </cell>
        </row>
        <row r="439">
          <cell r="C439" t="str">
            <v>Richard Siburian</v>
          </cell>
          <cell r="D439">
            <v>0.56190476190476202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0.952380952380952</v>
          </cell>
        </row>
        <row r="442">
          <cell r="C442" t="str">
            <v>Richard Siburian</v>
          </cell>
          <cell r="D442">
            <v>0.97109826589595405</v>
          </cell>
        </row>
        <row r="443">
          <cell r="C443" t="str">
            <v>Richard Siburian</v>
          </cell>
          <cell r="D443">
            <v>0.97663551401869197</v>
          </cell>
        </row>
        <row r="444">
          <cell r="C444" t="str">
            <v>Zulkarnain</v>
          </cell>
          <cell r="D444">
            <v>0.95061728395061695</v>
          </cell>
        </row>
        <row r="445">
          <cell r="C445" t="str">
            <v>Zulkarnain</v>
          </cell>
          <cell r="D445">
            <v>0.81632653061224503</v>
          </cell>
        </row>
        <row r="446">
          <cell r="C446" t="str">
            <v>Zulkarnain</v>
          </cell>
          <cell r="D446">
            <v>0.62948207171314696</v>
          </cell>
        </row>
        <row r="447">
          <cell r="C447" t="str">
            <v>Zulkarnain</v>
          </cell>
          <cell r="D447">
            <v>0.77692307692307705</v>
          </cell>
        </row>
        <row r="448">
          <cell r="C448" t="str">
            <v>Zulkarnain</v>
          </cell>
          <cell r="D448">
            <v>0.53787878787878796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0.98064516129032198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0.99285714285714299</v>
          </cell>
        </row>
        <row r="455">
          <cell r="C455" t="str">
            <v>Hany Pratiwi</v>
          </cell>
          <cell r="D455">
            <v>0.98429319371727697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0.98671096345514897</v>
          </cell>
        </row>
        <row r="459">
          <cell r="C459" t="str">
            <v>Hany Pratiwi</v>
          </cell>
          <cell r="D459">
            <v>0.98888888888888904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0.98684210526315796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0.99411764705882399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0.99479166666666696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0.98529411764705899</v>
          </cell>
        </row>
      </sheetData>
      <sheetData sheetId="6"/>
      <sheetData sheetId="7"/>
      <sheetData sheetId="8">
        <row r="1">
          <cell r="B1" t="str">
            <v>Branch Office</v>
          </cell>
        </row>
        <row r="2"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9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</sheetData>
      <sheetData sheetId="10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0.95714285714285696</v>
          </cell>
        </row>
        <row r="5">
          <cell r="B5" t="str">
            <v>KC Abunjani Sipin</v>
          </cell>
          <cell r="G5">
            <v>0.99371069182389904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0.99019607843137303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0.95652173913043503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0.96153846153846201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0.81818181818181801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0.980582524271845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0.94117647058823495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0.94871794871794901</v>
          </cell>
        </row>
        <row r="37">
          <cell r="B37" t="str">
            <v>KC Banjarmasin</v>
          </cell>
          <cell r="G37">
            <v>0.96666666666666701</v>
          </cell>
        </row>
        <row r="38">
          <cell r="B38" t="str">
            <v>KC Banjarmasin 2</v>
          </cell>
          <cell r="G38">
            <v>0.93023255813953498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0.94117647058823495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0.88888888888888895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0.95714285714285696</v>
          </cell>
        </row>
        <row r="53">
          <cell r="B53" t="str">
            <v>KC Bekasi</v>
          </cell>
          <cell r="G53">
            <v>0.95757575757575697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0.99166666666666703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0.97959183673469397</v>
          </cell>
        </row>
        <row r="61">
          <cell r="B61" t="str">
            <v>KC Bintaro</v>
          </cell>
          <cell r="G61">
            <v>0.97368421052631604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0.97368421052631604</v>
          </cell>
        </row>
        <row r="66">
          <cell r="B66" t="str">
            <v>KC Bogor</v>
          </cell>
          <cell r="G66">
            <v>0.89940828402366901</v>
          </cell>
        </row>
        <row r="67">
          <cell r="B67" t="str">
            <v>KC Bogor Pajajaran</v>
          </cell>
          <cell r="G67">
            <v>0.97826086956521696</v>
          </cell>
        </row>
        <row r="68">
          <cell r="B68" t="str">
            <v>KC Bojonegoro</v>
          </cell>
          <cell r="G68">
            <v>0.95652173913043503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0.81481481481481499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0.93684210526315803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0.98666666666666702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0.97368421052631604</v>
          </cell>
        </row>
        <row r="84">
          <cell r="B84" t="str">
            <v>KC Cibadak</v>
          </cell>
          <cell r="G84">
            <v>0.92857142857142905</v>
          </cell>
        </row>
        <row r="85">
          <cell r="B85" t="str">
            <v>KC Cibinong</v>
          </cell>
          <cell r="G85">
            <v>0.939393939393939</v>
          </cell>
        </row>
        <row r="86">
          <cell r="B86" t="str">
            <v>KC Cibubur</v>
          </cell>
          <cell r="G86">
            <v>0.98360655737704905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0.95555555555555605</v>
          </cell>
        </row>
        <row r="92">
          <cell r="B92" t="str">
            <v>KC Cimanggis</v>
          </cell>
          <cell r="G92">
            <v>0.95555555555555605</v>
          </cell>
        </row>
        <row r="93">
          <cell r="B93" t="str">
            <v>KC Ciputat</v>
          </cell>
          <cell r="G93">
            <v>0.89705882352941202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0.91428571428571404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0.96666666666666701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0.96638655462184897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0.97142857142857097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0.91818181818181799</v>
          </cell>
        </row>
        <row r="111">
          <cell r="B111" t="str">
            <v>KC Garut</v>
          </cell>
          <cell r="G111">
            <v>0.98076923076923095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0.98591549295774605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0.96428571428571397</v>
          </cell>
        </row>
        <row r="121">
          <cell r="B121" t="str">
            <v>KC Jakarta Cut Mutiah</v>
          </cell>
          <cell r="G121">
            <v>0.88059701492537301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0.96551724137931005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0.97674418604651203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</v>
          </cell>
        </row>
        <row r="129">
          <cell r="B129" t="str">
            <v>KC Jakarta Jelambar</v>
          </cell>
          <cell r="G129">
            <v>0.88235294117647101</v>
          </cell>
        </row>
        <row r="130">
          <cell r="B130" t="str">
            <v>KC Jakarta Joglo</v>
          </cell>
          <cell r="G130">
            <v>0.91666666666666696</v>
          </cell>
        </row>
        <row r="131">
          <cell r="B131" t="str">
            <v>KC Jakarta Kalideres</v>
          </cell>
          <cell r="G131">
            <v>0.79487179487179505</v>
          </cell>
        </row>
        <row r="132">
          <cell r="B132" t="str">
            <v>KC JAKARTA KALIMALANG</v>
          </cell>
          <cell r="G132">
            <v>0.97413793103448298</v>
          </cell>
        </row>
        <row r="133">
          <cell r="B133" t="str">
            <v>KC Jakarta Kebayoran Baru</v>
          </cell>
          <cell r="G133">
            <v>0.96969696969696995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0.96153846153846201</v>
          </cell>
        </row>
        <row r="139">
          <cell r="B139" t="str">
            <v>KC Jakarta Kramat Jati</v>
          </cell>
          <cell r="G139">
            <v>0.957219251336898</v>
          </cell>
        </row>
        <row r="140">
          <cell r="B140" t="str">
            <v>KC Jakarta Krekot</v>
          </cell>
          <cell r="G140">
            <v>0.96551724137931005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0.83333333333333304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0.92857142857142905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0.87096774193548399</v>
          </cell>
        </row>
        <row r="150">
          <cell r="B150" t="str">
            <v>KC Jakarta Pluit</v>
          </cell>
          <cell r="G150">
            <v>0.80952380952380898</v>
          </cell>
        </row>
        <row r="151">
          <cell r="B151" t="str">
            <v>KC Jakarta Pondok Indah</v>
          </cell>
          <cell r="G151">
            <v>0.97435897435897401</v>
          </cell>
        </row>
        <row r="152">
          <cell r="B152" t="str">
            <v>KC Jakarta Puri Niaga</v>
          </cell>
          <cell r="G152">
            <v>0.76923076923076905</v>
          </cell>
        </row>
        <row r="153">
          <cell r="B153" t="str">
            <v>KC Jakarta Radio Dalam</v>
          </cell>
          <cell r="G153">
            <v>0.96428571428571397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0.91228070175438603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0.93181818181818199</v>
          </cell>
        </row>
        <row r="162">
          <cell r="B162" t="str">
            <v>KC Jakarta Tangerang</v>
          </cell>
          <cell r="G162">
            <v>0.88235294117647101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0.88888888888888895</v>
          </cell>
        </row>
        <row r="170">
          <cell r="B170" t="str">
            <v>KC Jayapura</v>
          </cell>
          <cell r="G170">
            <v>0.94594594594594605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0.96666666666666701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0.97222222222222199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0.93333333333333302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0.97872340425531901</v>
          </cell>
        </row>
        <row r="188">
          <cell r="B188" t="str">
            <v>KC Kendari Samratulangi</v>
          </cell>
          <cell r="G188">
            <v>0.98529411764705899</v>
          </cell>
        </row>
        <row r="189">
          <cell r="B189" t="str">
            <v>KC Kepanjen</v>
          </cell>
          <cell r="G189">
            <v>0.952380952380952</v>
          </cell>
        </row>
        <row r="190">
          <cell r="B190" t="str">
            <v>KC Ketapang</v>
          </cell>
          <cell r="G190">
            <v>0.98245614035087703</v>
          </cell>
        </row>
        <row r="191">
          <cell r="B191" t="str">
            <v>KC Khatib Sulaiman</v>
          </cell>
          <cell r="G191">
            <v>0.98830409356725102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0.96153846153846201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0.94594594594594605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0.95454545454545503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0.66666666666666696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0.94339622641509402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0.99408284023668603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0.93333333333333302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0.98076923076923095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0.97752808988763995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0.92857142857142905</v>
          </cell>
        </row>
        <row r="241">
          <cell r="B241" t="str">
            <v>KC Marabahan</v>
          </cell>
          <cell r="G241">
            <v>0.76470588235294101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0.99479166666666696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0.98773006134969299</v>
          </cell>
        </row>
        <row r="251">
          <cell r="B251" t="str">
            <v>KC Medan Putri Hijau</v>
          </cell>
          <cell r="G251">
            <v>0.96153846153846201</v>
          </cell>
        </row>
        <row r="252">
          <cell r="B252" t="str">
            <v>KC Medan Sisingamangaraja</v>
          </cell>
          <cell r="G252">
            <v>0.96363636363636396</v>
          </cell>
        </row>
        <row r="253">
          <cell r="B253" t="str">
            <v>KC Medan Thamrin</v>
          </cell>
          <cell r="G253">
            <v>0.984615384615385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0.93548387096774199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0.71666666666666701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0.984615384615385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0.98550724637681197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0.94117647058823495</v>
          </cell>
        </row>
        <row r="278">
          <cell r="B278" t="str">
            <v>KC Palangkaraya</v>
          </cell>
          <cell r="G278">
            <v>0.97222222222222199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0.97222222222222199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0.96666666666666701</v>
          </cell>
        </row>
        <row r="285">
          <cell r="B285" t="str">
            <v>KC Pamulang</v>
          </cell>
          <cell r="G285">
            <v>0.987341772151899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0.81818181818181801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0.98507462686567204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0.89473684210526305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0.97142857142857097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0.95454545454545503</v>
          </cell>
        </row>
        <row r="301">
          <cell r="B301" t="str">
            <v>KC Payakumbuh</v>
          </cell>
          <cell r="G301">
            <v>0.98148148148148096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0.88235294117647101</v>
          </cell>
        </row>
        <row r="304">
          <cell r="B304" t="str">
            <v>KC Pekanbaru Sudirman</v>
          </cell>
          <cell r="G304">
            <v>0.97260273972602695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0.98888888888888904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0.88235294117647101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0.98098859315589304</v>
          </cell>
        </row>
        <row r="317">
          <cell r="B317" t="str">
            <v>KC Pontianak Gajah Mada</v>
          </cell>
          <cell r="G317">
            <v>0.94736842105263097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0.96666666666666701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0.96153846153846201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0.93333333333333302</v>
          </cell>
        </row>
        <row r="341">
          <cell r="B341" t="str">
            <v>KC SAMARINDA GAJAH MADA</v>
          </cell>
          <cell r="G341">
            <v>0.95161290322580605</v>
          </cell>
        </row>
        <row r="342">
          <cell r="B342" t="str">
            <v>KC SAMARINDA PELITA</v>
          </cell>
          <cell r="G342">
            <v>0.92307692307692302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0.98181818181818203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0.98780487804878003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0.97872340425531901</v>
          </cell>
        </row>
        <row r="352">
          <cell r="B352" t="str">
            <v>KC Semarang A. Yani</v>
          </cell>
          <cell r="G352">
            <v>0.98947368421052595</v>
          </cell>
        </row>
        <row r="353">
          <cell r="B353" t="str">
            <v>KC Semarang Pandanaran</v>
          </cell>
          <cell r="G353">
            <v>0.98507462686567204</v>
          </cell>
        </row>
        <row r="354">
          <cell r="B354" t="str">
            <v>KC Semarang Patimura</v>
          </cell>
          <cell r="G354">
            <v>0.94285714285714295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0.91666666666666696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0.97058823529411797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0.96296296296296302</v>
          </cell>
        </row>
        <row r="365">
          <cell r="B365" t="str">
            <v>KC Sidoarjo</v>
          </cell>
          <cell r="G365">
            <v>0.95833333333333304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0.97058823529411797</v>
          </cell>
        </row>
        <row r="368">
          <cell r="B368" t="str">
            <v>KC Simpang Empat</v>
          </cell>
          <cell r="G368">
            <v>0.98305084745762705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0.97142857142857097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0.97222222222222199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0.98630136986301398</v>
          </cell>
        </row>
        <row r="383">
          <cell r="B383" t="str">
            <v>KC Solok</v>
          </cell>
          <cell r="G383">
            <v>0.98387096774193505</v>
          </cell>
        </row>
        <row r="384">
          <cell r="B384" t="str">
            <v>KC Soreang</v>
          </cell>
          <cell r="G384">
            <v>0.90476190476190499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0.98039215686274495</v>
          </cell>
        </row>
        <row r="388">
          <cell r="B388" t="str">
            <v>KC Subang</v>
          </cell>
          <cell r="G388">
            <v>0.97058823529411797</v>
          </cell>
        </row>
        <row r="389">
          <cell r="B389" t="str">
            <v>KC SUDIRMAN SEMANGGI</v>
          </cell>
          <cell r="G389">
            <v>0.91176470588235303</v>
          </cell>
        </row>
        <row r="390">
          <cell r="B390" t="str">
            <v>KC Sukabumi</v>
          </cell>
          <cell r="G390">
            <v>0.97674418604651203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0.97142857142857097</v>
          </cell>
        </row>
        <row r="397">
          <cell r="B397" t="str">
            <v>KC Sungguminasa</v>
          </cell>
          <cell r="G397">
            <v>0.98863636363636398</v>
          </cell>
        </row>
        <row r="398">
          <cell r="B398" t="str">
            <v>KC Surabaya Diponegoro</v>
          </cell>
          <cell r="G398">
            <v>0.97435897435897401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0.96428571428571397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0.98076923076923095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0.94594594594594605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0.97546012269938698</v>
          </cell>
        </row>
        <row r="412">
          <cell r="B412" t="str">
            <v>KC Tambun</v>
          </cell>
          <cell r="G412">
            <v>0.987341772151899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0.94594594594594605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0.98666666666666702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0.99568965517241403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0.95555555555555605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0.98214285714285698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0.92307692307692302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0.88888888888888895</v>
          </cell>
        </row>
        <row r="433">
          <cell r="B433" t="str">
            <v>KC Tenggarong</v>
          </cell>
          <cell r="G433">
            <v>0.96491228070175405</v>
          </cell>
        </row>
        <row r="434">
          <cell r="B434" t="str">
            <v>KC Ternate</v>
          </cell>
          <cell r="G434">
            <v>0.97727272727272696</v>
          </cell>
        </row>
        <row r="435">
          <cell r="B435" t="str">
            <v>KC Timika</v>
          </cell>
          <cell r="G435">
            <v>0.95652173913043503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0.90909090909090895</v>
          </cell>
        </row>
        <row r="441">
          <cell r="B441" t="str">
            <v>KC Tulang Bawang</v>
          </cell>
          <cell r="G441">
            <v>0.94736842105263097</v>
          </cell>
        </row>
        <row r="442">
          <cell r="B442" t="str">
            <v>KC Tulungagung</v>
          </cell>
          <cell r="G442">
            <v>0.94444444444444398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0.99337748344370902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0.99285714285714299</v>
          </cell>
        </row>
        <row r="456">
          <cell r="B456" t="str">
            <v>KC Yogyakarta Cik Ditiro</v>
          </cell>
          <cell r="G456">
            <v>0.99333333333333296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0.90909090909090895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0.69230769230769196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0.98484848484848497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0.94736842105263097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0.90476190476190499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0.97142857142857097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0.63043478260869601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0.92307692307692302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0.95867768595041303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0.96551724137931005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0.95652173913043503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0.98076923076923095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0.77777777777777801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0.86666666666666703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0.95555555555555605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0.95454545454545503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0.91666666666666696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0.97435897435897401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0.95454545454545503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0.83333333333333304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0.95918367346938804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0.98245614035087703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0.98684210526315796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0.94117647058823495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0.93333333333333302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0.95454545454545503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0.90476190476190499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0.86363636363636398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0.91964285714285698</v>
          </cell>
        </row>
        <row r="675">
          <cell r="B675" t="str">
            <v xml:space="preserve">KC SAMARINDA PELITA                     </v>
          </cell>
          <cell r="G675">
            <v>0.92307692307692302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0.97959183673469397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0.98550724637681197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0.97727272727272696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0.91304347826086896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0.89320388349514601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0.85714285714285698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0.96666666666666701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0.94736842105263097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0.94339622641509402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0.96153846153846201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0.95454545454545503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0.97872340425531901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0.97619047619047605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0.98387096774193505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0.94444444444444398</v>
          </cell>
        </row>
        <row r="768">
          <cell r="B768" t="str">
            <v xml:space="preserve">KC SUDIRMAN SEMANGGI                    </v>
          </cell>
          <cell r="G768">
            <v>0.91176470588235303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0.96428571428571397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0.98387096774193505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0.96296296296296302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0.95833333333333304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0.96153846153846201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0.97619047619047605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0.92592592592592604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0.96666666666666701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0.98148148148148096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0.99333333333333296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0.95454545454545503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0.89130434782608703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0.94117647058823495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0.96666666666666701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0.83333333333333304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0.92857142857142905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0.88888888888888895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0.99038461538461497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0.90909090909090895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5H2XRMIFL3RFKZLPSSW2A3IW4">
      <xxl21:absoluteUrl r:id="rId2"/>
      <xxl21:relativeUrl r:id="rId3"/>
    </xxl21:alternateUrls>
    <sheetNames>
      <sheetName val="STR"/>
      <sheetName val="Kualitas Data"/>
      <sheetName val="Sosialisasi"/>
      <sheetName val="EDD PEP PPATK"/>
      <sheetName val="Uji Petik"/>
    </sheetNames>
    <sheetDataSet>
      <sheetData sheetId="0">
        <row r="2">
          <cell r="X2" t="b">
            <v>1</v>
          </cell>
        </row>
        <row r="3">
          <cell r="X3" t="b">
            <v>1</v>
          </cell>
        </row>
        <row r="4">
          <cell r="X4" t="b">
            <v>1</v>
          </cell>
        </row>
        <row r="5">
          <cell r="X5" t="b">
            <v>0</v>
          </cell>
        </row>
        <row r="6">
          <cell r="X6" t="b">
            <v>0</v>
          </cell>
        </row>
        <row r="7">
          <cell r="X7" t="b">
            <v>0</v>
          </cell>
        </row>
        <row r="8">
          <cell r="X8" t="b">
            <v>0</v>
          </cell>
        </row>
        <row r="9">
          <cell r="X9" t="b">
            <v>0</v>
          </cell>
        </row>
        <row r="10">
          <cell r="X10" t="b">
            <v>0</v>
          </cell>
        </row>
        <row r="11">
          <cell r="X11" t="b">
            <v>0</v>
          </cell>
        </row>
        <row r="12">
          <cell r="X12" t="b">
            <v>1</v>
          </cell>
        </row>
        <row r="13">
          <cell r="X13" t="b">
            <v>0</v>
          </cell>
        </row>
        <row r="14">
          <cell r="X14" t="b">
            <v>1</v>
          </cell>
        </row>
        <row r="15">
          <cell r="X15" t="b">
            <v>1</v>
          </cell>
        </row>
        <row r="16">
          <cell r="X16" t="b">
            <v>0</v>
          </cell>
        </row>
        <row r="17">
          <cell r="X17" t="b">
            <v>0</v>
          </cell>
        </row>
        <row r="18">
          <cell r="X18" t="b">
            <v>0</v>
          </cell>
        </row>
        <row r="19">
          <cell r="X19" t="b">
            <v>0</v>
          </cell>
        </row>
        <row r="20">
          <cell r="X20" t="b">
            <v>0</v>
          </cell>
        </row>
        <row r="21">
          <cell r="X21" t="b">
            <v>0</v>
          </cell>
        </row>
        <row r="22">
          <cell r="X22" t="b">
            <v>0</v>
          </cell>
        </row>
        <row r="23">
          <cell r="X23" t="b">
            <v>0</v>
          </cell>
        </row>
        <row r="24">
          <cell r="X24" t="b">
            <v>0</v>
          </cell>
        </row>
        <row r="25">
          <cell r="X25" t="b">
            <v>1</v>
          </cell>
        </row>
        <row r="26">
          <cell r="X26" t="b">
            <v>1</v>
          </cell>
        </row>
        <row r="27">
          <cell r="X27" t="b">
            <v>0</v>
          </cell>
        </row>
        <row r="28">
          <cell r="X28" t="b">
            <v>1</v>
          </cell>
        </row>
        <row r="29">
          <cell r="X29" t="b">
            <v>1</v>
          </cell>
        </row>
        <row r="30">
          <cell r="X30" t="b">
            <v>1</v>
          </cell>
        </row>
        <row r="31">
          <cell r="X31" t="b">
            <v>1</v>
          </cell>
        </row>
        <row r="32">
          <cell r="X32" t="b">
            <v>1</v>
          </cell>
        </row>
        <row r="33">
          <cell r="X33" t="b">
            <v>1</v>
          </cell>
        </row>
        <row r="34">
          <cell r="X34" t="b">
            <v>1</v>
          </cell>
        </row>
        <row r="35">
          <cell r="X35" t="b">
            <v>1</v>
          </cell>
        </row>
        <row r="36">
          <cell r="X36" t="b">
            <v>1</v>
          </cell>
        </row>
        <row r="37">
          <cell r="X37" t="b">
            <v>1</v>
          </cell>
        </row>
        <row r="38">
          <cell r="X38" t="b">
            <v>1</v>
          </cell>
        </row>
        <row r="39">
          <cell r="X39" t="b">
            <v>1</v>
          </cell>
        </row>
        <row r="40">
          <cell r="X40" t="b">
            <v>1</v>
          </cell>
        </row>
        <row r="41">
          <cell r="X41" t="b">
            <v>1</v>
          </cell>
        </row>
        <row r="42">
          <cell r="X42" t="b">
            <v>1</v>
          </cell>
        </row>
        <row r="43">
          <cell r="X43" t="b">
            <v>1</v>
          </cell>
        </row>
        <row r="44">
          <cell r="X44" t="b">
            <v>1</v>
          </cell>
        </row>
        <row r="45">
          <cell r="X45" t="b">
            <v>1</v>
          </cell>
        </row>
        <row r="46">
          <cell r="X46" t="b">
            <v>1</v>
          </cell>
        </row>
        <row r="47">
          <cell r="X47" t="b">
            <v>1</v>
          </cell>
        </row>
        <row r="48">
          <cell r="X48" t="b">
            <v>1</v>
          </cell>
        </row>
        <row r="49">
          <cell r="X49" t="b">
            <v>1</v>
          </cell>
        </row>
        <row r="50">
          <cell r="X50" t="b">
            <v>1</v>
          </cell>
        </row>
        <row r="51">
          <cell r="X51" t="b">
            <v>1</v>
          </cell>
        </row>
        <row r="52">
          <cell r="X52" t="b">
            <v>0</v>
          </cell>
        </row>
        <row r="53">
          <cell r="X53" t="b">
            <v>1</v>
          </cell>
        </row>
        <row r="54">
          <cell r="X54" t="b">
            <v>0</v>
          </cell>
        </row>
        <row r="55">
          <cell r="X55" t="b">
            <v>1</v>
          </cell>
        </row>
        <row r="56">
          <cell r="X56" t="b">
            <v>1</v>
          </cell>
        </row>
        <row r="57">
          <cell r="X57" t="b">
            <v>0</v>
          </cell>
        </row>
        <row r="58">
          <cell r="X58" t="b">
            <v>1</v>
          </cell>
        </row>
        <row r="59">
          <cell r="X59" t="b">
            <v>1</v>
          </cell>
        </row>
        <row r="60">
          <cell r="X60" t="b">
            <v>1</v>
          </cell>
        </row>
        <row r="61">
          <cell r="X61" t="b">
            <v>1</v>
          </cell>
        </row>
        <row r="62">
          <cell r="X62" t="b">
            <v>1</v>
          </cell>
        </row>
        <row r="63">
          <cell r="X63" t="b">
            <v>1</v>
          </cell>
        </row>
      </sheetData>
      <sheetData sheetId="1"/>
      <sheetData sheetId="2"/>
      <sheetData sheetId="3"/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63"/>
  <sheetViews>
    <sheetView topLeftCell="L1" workbookViewId="0">
      <selection activeCell="X7" sqref="X7"/>
    </sheetView>
  </sheetViews>
  <sheetFormatPr defaultColWidth="9.140625"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63">_xlfn._xlws.FILTER('[2]STR-2026-8-2026-8'!$A:$U, ISNUMBER(SEARCH("DKI2", '[2]STR-2026-8-2026-8'!$O:$O)), "")</f>
        <v>46265</v>
      </c>
      <c r="B2" s="9" t="str">
        <v xml:space="preserve">AULIA ROHMAN ROKHIM                     </v>
      </c>
      <c r="C2" s="9" t="str">
        <v>AAWQ591</v>
      </c>
      <c r="D2" s="9">
        <v>42701000492306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51</v>
      </c>
      <c r="K2" s="9">
        <v>41</v>
      </c>
      <c r="L2" s="9" t="str">
        <v>Perpajakan</v>
      </c>
      <c r="M2" s="9" t="str">
        <v xml:space="preserve">KC Jakarta Gatot Subroto                </v>
      </c>
      <c r="N2" s="9" t="str">
        <v xml:space="preserve">KC Jakarta Gatot Subroto                </v>
      </c>
      <c r="O2" s="9" t="str">
        <v xml:space="preserve">DKI2      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90186796 - Devito Arya Wiradila</v>
      </c>
      <c r="U2" s="9" t="str">
        <v>"-"</v>
      </c>
      <c r="V2" s="12" t="s">
        <v>24</v>
      </c>
      <c r="W2" s="13"/>
      <c r="X2" s="14" t="b">
        <f>[3]STR!$X2</f>
        <v>1</v>
      </c>
    </row>
    <row r="3" spans="1:26">
      <c r="A3" s="8">
        <v>46265</v>
      </c>
      <c r="B3" s="9" t="str">
        <v xml:space="preserve">ARDOVI INDO TRAVEL                      </v>
      </c>
      <c r="C3" s="9" t="str">
        <v>ACDMR55</v>
      </c>
      <c r="D3" s="9">
        <v>42601002117306</v>
      </c>
      <c r="E3" s="9" t="str">
        <v>SEDANG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48</v>
      </c>
      <c r="K3" s="9">
        <v>41</v>
      </c>
      <c r="L3" s="9" t="str">
        <v>Perpajakan</v>
      </c>
      <c r="M3" s="9" t="str">
        <v xml:space="preserve">KC BRI Jakarta Menara Brilian           </v>
      </c>
      <c r="N3" s="9" t="str">
        <v xml:space="preserve">KC BRI Jakarta Menara Brilian           </v>
      </c>
      <c r="O3" s="9" t="str">
        <v xml:space="preserve">DKI2         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90186790 - Muhammad Alfin Farha</v>
      </c>
      <c r="U3" s="9" t="str">
        <v>"-"</v>
      </c>
      <c r="V3" s="12" t="s">
        <v>24</v>
      </c>
      <c r="W3" s="12"/>
      <c r="X3" s="14" t="b">
        <f>[3]STR!$X3</f>
        <v>1</v>
      </c>
    </row>
    <row r="4" spans="1:26">
      <c r="A4" s="8">
        <v>46265</v>
      </c>
      <c r="B4" s="9" t="str">
        <v xml:space="preserve">AMARTHA MIKRO FINTEK                    </v>
      </c>
      <c r="C4" s="9" t="str">
        <v>AHDR268</v>
      </c>
      <c r="D4" s="9">
        <v>42501001099569</v>
      </c>
      <c r="E4" s="9" t="str">
        <v>SEDANG</v>
      </c>
      <c r="F4" s="9" t="str">
        <v>Tidak</v>
      </c>
      <c r="G4" s="9" t="str">
        <v>Tidak</v>
      </c>
      <c r="H4" s="9" t="str">
        <v>Tidak</v>
      </c>
      <c r="I4" s="9" t="str">
        <v>Perpajakan</v>
      </c>
      <c r="J4" s="9">
        <v>50</v>
      </c>
      <c r="K4" s="9">
        <v>1.33</v>
      </c>
      <c r="L4" s="9" t="str">
        <v>Perpajakan</v>
      </c>
      <c r="M4" s="9" t="str">
        <v xml:space="preserve">KC Ampera                               </v>
      </c>
      <c r="N4" s="9" t="str">
        <v xml:space="preserve">KC Ampera                               </v>
      </c>
      <c r="O4" s="9" t="str">
        <v xml:space="preserve">DKI2     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00394521 - Muhammad Hibbanduta</v>
      </c>
      <c r="U4" s="9" t="str">
        <v>"-"</v>
      </c>
      <c r="V4" s="12" t="s">
        <v>24</v>
      </c>
      <c r="W4" s="12"/>
      <c r="X4" s="14" t="b">
        <f>[3]STR!$X4</f>
        <v>1</v>
      </c>
    </row>
    <row r="5" spans="1:26">
      <c r="A5" s="8">
        <v>46265</v>
      </c>
      <c r="B5" s="9" t="str">
        <v xml:space="preserve">AGUSTINUS GUSTAF BRUGMAN                </v>
      </c>
      <c r="C5" s="9" t="str">
        <v>AQX3992</v>
      </c>
      <c r="D5" s="9">
        <v>5326590002864270</v>
      </c>
      <c r="E5" s="9" t="str">
        <v>TINGGI</v>
      </c>
      <c r="F5" s="9" t="str">
        <v>Tidak</v>
      </c>
      <c r="G5" s="9" t="str">
        <v>Tidak</v>
      </c>
      <c r="H5" s="9" t="str">
        <v>Tidak</v>
      </c>
      <c r="I5" s="9" t="str">
        <v>Private or Priority Customer Investment</v>
      </c>
      <c r="J5" s="9">
        <v>83</v>
      </c>
      <c r="K5" s="9">
        <v>93</v>
      </c>
      <c r="L5" s="9" t="str">
        <v>Pasar Modal</v>
      </c>
      <c r="M5" s="9" t="str">
        <v xml:space="preserve">KC Jakarta Gatot Subroto                </v>
      </c>
      <c r="N5" s="9" t="str">
        <v xml:space="preserve">KC Jakarta Gatot Subroto                </v>
      </c>
      <c r="O5" s="9" t="str">
        <v xml:space="preserve">DKI2      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90185538 - Muhammad Fahikal Auz</v>
      </c>
      <c r="U5" s="9" t="str">
        <v>"-"</v>
      </c>
      <c r="V5" s="12" t="s">
        <v>24</v>
      </c>
      <c r="W5" s="12"/>
      <c r="X5" s="14" t="b">
        <f>[3]STR!$X5</f>
        <v>0</v>
      </c>
      <c r="Z5" t="s">
        <v>25</v>
      </c>
    </row>
    <row r="6" spans="1:26">
      <c r="A6" s="8">
        <v>46265</v>
      </c>
      <c r="B6" s="9" t="str">
        <v xml:space="preserve">BERCA INDONESIA                         </v>
      </c>
      <c r="C6" s="9" t="str">
        <v>BX43053</v>
      </c>
      <c r="D6" s="9">
        <v>37602000159305</v>
      </c>
      <c r="E6" s="9" t="str">
        <v>SEDANG</v>
      </c>
      <c r="F6" s="9" t="str">
        <v>Tidak</v>
      </c>
      <c r="G6" s="9" t="str">
        <v>Tidak</v>
      </c>
      <c r="H6" s="9" t="str">
        <v>Tidak</v>
      </c>
      <c r="I6" s="9" t="str">
        <v>Perpajakan</v>
      </c>
      <c r="J6" s="9">
        <v>50</v>
      </c>
      <c r="K6" s="9">
        <v>41</v>
      </c>
      <c r="L6" s="9" t="str">
        <v>Perpajakan</v>
      </c>
      <c r="M6" s="9" t="str">
        <v xml:space="preserve">KC Jakarta Sudirman 1                   </v>
      </c>
      <c r="N6" s="9" t="str">
        <v xml:space="preserve">KC Jakarta Sudirman 1                   </v>
      </c>
      <c r="O6" s="9" t="str">
        <v xml:space="preserve">DKI2    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90186790 - Muhammad Alfin Farha</v>
      </c>
      <c r="U6" s="9" t="str">
        <v>"-"</v>
      </c>
      <c r="V6" s="12" t="s">
        <v>24</v>
      </c>
      <c r="W6" s="12"/>
      <c r="X6" s="14" t="b">
        <f>[3]STR!$X6</f>
        <v>0</v>
      </c>
    </row>
    <row r="7" spans="1:26">
      <c r="A7" s="8">
        <v>46265</v>
      </c>
      <c r="B7" s="9" t="str">
        <v xml:space="preserve">CIPTA CAKRA MURDAYA                     </v>
      </c>
      <c r="C7" s="9" t="str">
        <v>CG23315</v>
      </c>
      <c r="D7" s="9">
        <v>37601001937302</v>
      </c>
      <c r="E7" s="9" t="str">
        <v>SEDANG</v>
      </c>
      <c r="F7" s="9" t="str">
        <v>Tidak</v>
      </c>
      <c r="G7" s="9" t="str">
        <v>Tidak</v>
      </c>
      <c r="H7" s="9" t="str">
        <v>Tidak</v>
      </c>
      <c r="I7" s="9" t="str">
        <v>Perpajakan</v>
      </c>
      <c r="J7" s="9">
        <v>48</v>
      </c>
      <c r="K7" s="9">
        <v>41</v>
      </c>
      <c r="L7" s="9" t="str">
        <v>Perpajakan</v>
      </c>
      <c r="M7" s="9" t="str">
        <v xml:space="preserve">KC Jakarta Sudirman 1                   </v>
      </c>
      <c r="N7" s="9" t="str">
        <v xml:space="preserve">KC Jakarta Sudirman 1                   </v>
      </c>
      <c r="O7" s="9" t="str">
        <v xml:space="preserve">DKI2      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00394520 - Frida Akbar Rani</v>
      </c>
      <c r="U7" s="9" t="str">
        <v>"-"</v>
      </c>
      <c r="V7" s="12" t="s">
        <v>24</v>
      </c>
      <c r="W7" s="12"/>
      <c r="X7" s="14" t="b">
        <f>[3]STR!$X7</f>
        <v>0</v>
      </c>
    </row>
    <row r="8" spans="1:26">
      <c r="A8" s="8">
        <v>46265</v>
      </c>
      <c r="B8" s="9" t="str">
        <v xml:space="preserve">DARMAWAN PRASODJO, PH.D                 </v>
      </c>
      <c r="C8" s="9" t="str">
        <v>DGK7192</v>
      </c>
      <c r="D8" s="9">
        <v>0</v>
      </c>
      <c r="E8" s="9" t="str">
        <v>TINGGI</v>
      </c>
      <c r="F8" s="9" t="str">
        <v>Tidak</v>
      </c>
      <c r="G8" s="9" t="str">
        <v>Tidak</v>
      </c>
      <c r="H8" s="9" t="str">
        <v>Tidak</v>
      </c>
      <c r="I8" s="9" t="str">
        <v>Private or Priority Customer Investment</v>
      </c>
      <c r="J8" s="9">
        <v>78</v>
      </c>
      <c r="K8" s="9">
        <v>93</v>
      </c>
      <c r="L8" s="9" t="str">
        <v>Pasar Modal</v>
      </c>
      <c r="M8" s="9" t="str">
        <v xml:space="preserve">KCP TELKOM LANDMARK TOWER               </v>
      </c>
      <c r="N8" s="9" t="str">
        <v xml:space="preserve">KC Jakarta Gatot Subroto                </v>
      </c>
      <c r="O8" s="9" t="str">
        <v xml:space="preserve">DKI2         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00394521 - Muhammad Hibbanduta</v>
      </c>
      <c r="U8" s="9" t="str">
        <v>"-"</v>
      </c>
      <c r="V8" s="12" t="s">
        <v>24</v>
      </c>
      <c r="W8" s="12"/>
      <c r="X8" s="14" t="b">
        <f>[3]STR!$X8</f>
        <v>0</v>
      </c>
    </row>
    <row r="9" spans="1:26">
      <c r="A9" s="8">
        <v>46265</v>
      </c>
      <c r="B9" s="9" t="str">
        <v xml:space="preserve">DERRY APRIANTI                          </v>
      </c>
      <c r="C9" s="9" t="str">
        <v>DGRJ257</v>
      </c>
      <c r="D9" s="9">
        <v>80101017826506</v>
      </c>
      <c r="E9" s="9">
        <v>0</v>
      </c>
      <c r="F9" s="9" t="str">
        <v>Tidak</v>
      </c>
      <c r="G9" s="9" t="str">
        <v>Tidak</v>
      </c>
      <c r="H9" s="9">
        <v>0</v>
      </c>
      <c r="I9" s="9" t="str">
        <v>Jual Beli Rekening - E channel Trx</v>
      </c>
      <c r="J9" s="9">
        <v>33</v>
      </c>
      <c r="K9" s="9">
        <v>113</v>
      </c>
      <c r="L9" s="9" t="str">
        <v>Narkotika/Judi Online/Penipuan</v>
      </c>
      <c r="M9" s="9" t="str">
        <v xml:space="preserve">UNIT WARUNG JAMBU                       </v>
      </c>
      <c r="N9" s="9" t="str">
        <v xml:space="preserve">KC Bogor Pajajaran                      </v>
      </c>
      <c r="O9" s="9" t="str">
        <v xml:space="preserve">DKI2       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>
        <v>0</v>
      </c>
      <c r="U9" s="9" t="str">
        <v>"-"</v>
      </c>
      <c r="V9" s="12" t="s">
        <v>24</v>
      </c>
      <c r="W9" s="12"/>
      <c r="X9" s="14" t="b">
        <f>[3]STR!$X9</f>
        <v>0</v>
      </c>
    </row>
    <row r="10" spans="1:26">
      <c r="A10" s="8">
        <v>46265</v>
      </c>
      <c r="B10" s="9" t="str">
        <v xml:space="preserve">DEDI SURYADI                            </v>
      </c>
      <c r="C10" s="9" t="str">
        <v>DHRI111</v>
      </c>
      <c r="D10" s="9">
        <v>479401000064560</v>
      </c>
      <c r="E10" s="9">
        <v>0</v>
      </c>
      <c r="F10" s="9" t="str">
        <v>Tidak</v>
      </c>
      <c r="G10" s="9" t="str">
        <v>Tidak</v>
      </c>
      <c r="H10" s="9">
        <v>0</v>
      </c>
      <c r="I10" s="9" t="str">
        <v>Jual Beli Rekening - E channel Trx</v>
      </c>
      <c r="J10" s="9">
        <v>33</v>
      </c>
      <c r="K10" s="9">
        <v>113</v>
      </c>
      <c r="L10" s="9" t="str">
        <v>Narkotika/Judi Online/Penipuan</v>
      </c>
      <c r="M10" s="9" t="str">
        <v xml:space="preserve">UNIT PONDOK UNGU PERMAI BEKASI          </v>
      </c>
      <c r="N10" s="9" t="str">
        <v xml:space="preserve">KC Bekasi                               </v>
      </c>
      <c r="O10" s="9" t="str">
        <v xml:space="preserve">DKI2      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>
        <v>0</v>
      </c>
      <c r="U10" s="9" t="str">
        <v>"-"</v>
      </c>
      <c r="V10" s="12" t="s">
        <v>24</v>
      </c>
      <c r="W10" s="12"/>
      <c r="X10" s="14" t="b">
        <f>[3]STR!$X10</f>
        <v>0</v>
      </c>
    </row>
    <row r="11" spans="1:26">
      <c r="A11" s="8">
        <v>46265</v>
      </c>
      <c r="B11" s="9" t="str">
        <v xml:space="preserve">EKO SUPRIYADI                           </v>
      </c>
      <c r="C11" s="9" t="str">
        <v>EZO9900</v>
      </c>
      <c r="D11" s="9">
        <v>38701078253508</v>
      </c>
      <c r="E11" s="9">
        <v>0</v>
      </c>
      <c r="F11" s="9" t="str">
        <v>Tidak</v>
      </c>
      <c r="G11" s="9" t="str">
        <v>Tidak</v>
      </c>
      <c r="H11" s="9">
        <v>0</v>
      </c>
      <c r="I11" s="9" t="str">
        <v>Jual Beli Rekening - E channel Trx</v>
      </c>
      <c r="J11" s="9">
        <v>33</v>
      </c>
      <c r="K11" s="9">
        <v>113</v>
      </c>
      <c r="L11" s="9" t="str">
        <v>Narkotika/Judi Online/Penipuan</v>
      </c>
      <c r="M11" s="9" t="str">
        <v xml:space="preserve">KC Bogor Pajajaran                      </v>
      </c>
      <c r="N11" s="9" t="str">
        <v xml:space="preserve">KC Bogor Pajajaran                      </v>
      </c>
      <c r="O11" s="9" t="str">
        <v xml:space="preserve">DKI2            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>
        <v>0</v>
      </c>
      <c r="U11" s="9" t="str">
        <v>"-"</v>
      </c>
      <c r="V11" s="12" t="s">
        <v>24</v>
      </c>
      <c r="W11" s="12"/>
      <c r="X11" s="14" t="b">
        <f>[3]STR!$X11</f>
        <v>0</v>
      </c>
    </row>
    <row r="12" spans="1:26">
      <c r="A12" s="8">
        <v>46265</v>
      </c>
      <c r="B12" s="9" t="str">
        <v xml:space="preserve">FLIPTECH LENTERA INSPIRASI PERTIWI      </v>
      </c>
      <c r="C12" s="9" t="str">
        <v>FM60762</v>
      </c>
      <c r="D12" s="9">
        <v>67201000299301</v>
      </c>
      <c r="E12" s="9" t="str">
        <v>TINGGI</v>
      </c>
      <c r="F12" s="9" t="str">
        <v>Tidak</v>
      </c>
      <c r="G12" s="9" t="str">
        <v>Tidak</v>
      </c>
      <c r="H12" s="9" t="str">
        <v>Tidak</v>
      </c>
      <c r="I12" s="9" t="str">
        <v>TPPO - Perusahaan PJTKI</v>
      </c>
      <c r="J12" s="9">
        <v>65</v>
      </c>
      <c r="K12" s="9">
        <v>103</v>
      </c>
      <c r="L12" s="9" t="str">
        <v>TPPO</v>
      </c>
      <c r="M12" s="9" t="str">
        <v xml:space="preserve">KCP UNIVERSITAS INDONESIA               </v>
      </c>
      <c r="N12" s="9" t="str">
        <v xml:space="preserve">KC Depok                                </v>
      </c>
      <c r="O12" s="9" t="str">
        <v xml:space="preserve">DKI2         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 t="str">
        <v>90150130 - Intan Aida Pratiwi</v>
      </c>
      <c r="U12" s="9" t="str">
        <v>"-"</v>
      </c>
      <c r="V12" s="12" t="s">
        <v>24</v>
      </c>
      <c r="W12" s="12"/>
      <c r="X12" s="14" t="b">
        <f>[3]STR!$X12</f>
        <v>1</v>
      </c>
    </row>
    <row r="13" spans="1:26">
      <c r="A13" s="8">
        <v>46265</v>
      </c>
      <c r="B13" s="9" t="str">
        <v xml:space="preserve">INTEGRA CIPTA KREASI                    </v>
      </c>
      <c r="C13" s="9" t="str">
        <v>IEB4240</v>
      </c>
      <c r="D13" s="9">
        <v>141401000008303</v>
      </c>
      <c r="E13" s="9" t="str">
        <v>SEDANG</v>
      </c>
      <c r="F13" s="9" t="str">
        <v>Tidak</v>
      </c>
      <c r="G13" s="9" t="str">
        <v>Tidak</v>
      </c>
      <c r="H13" s="9" t="str">
        <v>Tidak</v>
      </c>
      <c r="I13" s="9" t="str">
        <v>Perpajakan</v>
      </c>
      <c r="J13" s="9">
        <v>48</v>
      </c>
      <c r="K13" s="9">
        <v>41</v>
      </c>
      <c r="L13" s="9" t="str">
        <v>Perpajakan</v>
      </c>
      <c r="M13" s="9" t="str">
        <v xml:space="preserve">KCP PLN JAKARTA                         </v>
      </c>
      <c r="N13" s="9" t="str">
        <v xml:space="preserve">KC Jakarta Kebayoran Baru               </v>
      </c>
      <c r="O13" s="9" t="str">
        <v xml:space="preserve">DKI2         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 t="str">
        <v>90186790 - Muhammad Alfin Farha</v>
      </c>
      <c r="U13" s="9" t="str">
        <v>"-"</v>
      </c>
      <c r="V13" s="12" t="s">
        <v>24</v>
      </c>
      <c r="W13" s="12"/>
      <c r="X13" s="14" t="b">
        <f>[3]STR!$X13</f>
        <v>0</v>
      </c>
    </row>
    <row r="14" spans="1:26">
      <c r="A14" s="8">
        <v>46265</v>
      </c>
      <c r="B14" s="9" t="str">
        <v xml:space="preserve">KARTINI SUKSES MAKMUR                   </v>
      </c>
      <c r="C14" s="9" t="str">
        <v>KHY9859</v>
      </c>
      <c r="D14" s="9">
        <v>38701000921305</v>
      </c>
      <c r="E14" s="9" t="str">
        <v>TINGGI</v>
      </c>
      <c r="F14" s="9" t="str">
        <v>Tidak</v>
      </c>
      <c r="G14" s="9" t="str">
        <v>Tidak</v>
      </c>
      <c r="H14" s="9" t="str">
        <v>Tidak</v>
      </c>
      <c r="I14" s="9" t="str">
        <v>Perpajakan</v>
      </c>
      <c r="J14" s="9">
        <v>65</v>
      </c>
      <c r="K14" s="9">
        <v>1.33</v>
      </c>
      <c r="L14" s="9" t="str">
        <v>Perpajakan</v>
      </c>
      <c r="M14" s="9" t="str">
        <v xml:space="preserve">KC Bogor Pajajaran                      </v>
      </c>
      <c r="N14" s="9" t="str">
        <v xml:space="preserve">KC Bogor Pajajaran                      </v>
      </c>
      <c r="O14" s="9" t="str">
        <v xml:space="preserve">DKI2         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 t="str">
        <v>00394521 - Muhammad Hibbanduta</v>
      </c>
      <c r="U14" s="9" t="str">
        <v>"-"</v>
      </c>
      <c r="V14" s="12" t="s">
        <v>24</v>
      </c>
      <c r="W14" s="12"/>
      <c r="X14" s="14" t="b">
        <f>[3]STR!$X14</f>
        <v>1</v>
      </c>
    </row>
    <row r="15" spans="1:26">
      <c r="A15" s="8">
        <v>46265</v>
      </c>
      <c r="B15" s="9" t="str">
        <v xml:space="preserve">LUMBUNG PANGAN REJEKI AULIA             </v>
      </c>
      <c r="C15" s="9" t="str">
        <v>LHM1155</v>
      </c>
      <c r="D15" s="9">
        <v>35901002519307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Perpajakan</v>
      </c>
      <c r="J15" s="9">
        <v>48</v>
      </c>
      <c r="K15" s="9">
        <v>41</v>
      </c>
      <c r="L15" s="9" t="str">
        <v>Perpajakan</v>
      </c>
      <c r="M15" s="9" t="str">
        <v xml:space="preserve">KC Jakarta Gatot Subroto                </v>
      </c>
      <c r="N15" s="9" t="str">
        <v xml:space="preserve">KC Jakarta Gatot Subroto                </v>
      </c>
      <c r="O15" s="9" t="str">
        <v xml:space="preserve">DKI2            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 t="str">
        <v>90186796 - Devito Arya Wiradila</v>
      </c>
      <c r="U15" s="9" t="str">
        <v>"-"</v>
      </c>
      <c r="V15" s="12" t="s">
        <v>24</v>
      </c>
      <c r="W15" s="12"/>
      <c r="X15" s="14" t="b">
        <f>[3]STR!$X15</f>
        <v>1</v>
      </c>
    </row>
    <row r="16" spans="1:26">
      <c r="A16" s="8">
        <v>46265</v>
      </c>
      <c r="B16" s="9" t="str">
        <v xml:space="preserve">MISBAUL MUNIR                           </v>
      </c>
      <c r="C16" s="9" t="str">
        <v>MDSEZ72</v>
      </c>
      <c r="D16" s="9">
        <v>725401012349507</v>
      </c>
      <c r="E16" s="9">
        <v>0</v>
      </c>
      <c r="F16" s="9" t="str">
        <v>Tidak</v>
      </c>
      <c r="G16" s="9" t="str">
        <v>Tidak</v>
      </c>
      <c r="H16" s="9">
        <v>0</v>
      </c>
      <c r="I16" s="9" t="str">
        <v>Jual Beli Rekening - E channel Trx</v>
      </c>
      <c r="J16" s="9">
        <v>33</v>
      </c>
      <c r="K16" s="9">
        <v>113</v>
      </c>
      <c r="L16" s="9" t="str">
        <v>Narkotika/Judi Online/Penipuan</v>
      </c>
      <c r="M16" s="9" t="str">
        <v xml:space="preserve">UNIT KAYURINGIN BEKASI                  </v>
      </c>
      <c r="N16" s="9" t="str">
        <v xml:space="preserve">KC Bekasi                               </v>
      </c>
      <c r="O16" s="9" t="str">
        <v xml:space="preserve">DKI2                                    </v>
      </c>
      <c r="P16" s="9">
        <v>0</v>
      </c>
      <c r="Q16" s="9">
        <v>0</v>
      </c>
      <c r="R16" s="9" t="str">
        <v>Belum TL</v>
      </c>
      <c r="S16" s="9" t="str">
        <v>Belum TL</v>
      </c>
      <c r="T16" s="9">
        <v>0</v>
      </c>
      <c r="U16" s="9" t="str">
        <v>"-"</v>
      </c>
      <c r="V16" s="12" t="s">
        <v>24</v>
      </c>
      <c r="W16" s="12"/>
      <c r="X16" s="14" t="b">
        <f>[3]STR!$X16</f>
        <v>0</v>
      </c>
    </row>
    <row r="17" spans="1:24">
      <c r="A17" s="8">
        <v>46265</v>
      </c>
      <c r="B17" s="9" t="str">
        <v xml:space="preserve">MUHAMAD MUTTAQIN HAESYI                 </v>
      </c>
      <c r="C17" s="9" t="str">
        <v>MEBEB49</v>
      </c>
      <c r="D17" s="9">
        <v>479601074752509</v>
      </c>
      <c r="E17" s="9">
        <v>0</v>
      </c>
      <c r="F17" s="9" t="str">
        <v>Tidak</v>
      </c>
      <c r="G17" s="9" t="str">
        <v>Tidak</v>
      </c>
      <c r="H17" s="9">
        <v>0</v>
      </c>
      <c r="I17" s="9" t="str">
        <v>Jual Beli Rekening - E channel Trx</v>
      </c>
      <c r="J17" s="9">
        <v>33</v>
      </c>
      <c r="K17" s="9">
        <v>113</v>
      </c>
      <c r="L17" s="9" t="str">
        <v>Narkotika/Judi Online/Penipuan</v>
      </c>
      <c r="M17" s="9" t="str">
        <v xml:space="preserve">UNIT CIBUNG BULANGÂ BOGOR                </v>
      </c>
      <c r="N17" s="9" t="str">
        <v xml:space="preserve">KC Bogor                                </v>
      </c>
      <c r="O17" s="9" t="str">
        <v xml:space="preserve">DKI2                                    </v>
      </c>
      <c r="P17" s="9">
        <v>0</v>
      </c>
      <c r="Q17" s="9">
        <v>0</v>
      </c>
      <c r="R17" s="9" t="str">
        <v>Belum TL</v>
      </c>
      <c r="S17" s="9" t="str">
        <v>Belum TL</v>
      </c>
      <c r="T17" s="9">
        <v>0</v>
      </c>
      <c r="U17" s="9" t="str">
        <v>"-"</v>
      </c>
      <c r="V17" s="12" t="s">
        <v>24</v>
      </c>
      <c r="W17" s="12"/>
      <c r="X17" s="14" t="b">
        <f>[3]STR!$X17</f>
        <v>0</v>
      </c>
    </row>
    <row r="18" spans="1:24">
      <c r="A18" s="8">
        <v>46265</v>
      </c>
      <c r="B18" s="9" t="str">
        <v xml:space="preserve">MIRAH AGUNG RAYA, PT                    </v>
      </c>
      <c r="C18" s="9" t="str">
        <v>MLZ2573</v>
      </c>
      <c r="D18" s="9">
        <v>37802000171305</v>
      </c>
      <c r="E18" s="9" t="str">
        <v>SEDANG</v>
      </c>
      <c r="F18" s="9" t="str">
        <v>Tidak</v>
      </c>
      <c r="G18" s="9" t="str">
        <v>Tidak</v>
      </c>
      <c r="H18" s="9" t="str">
        <v>Tidak</v>
      </c>
      <c r="I18" s="9" t="str">
        <v>Perpajakan</v>
      </c>
      <c r="J18" s="9">
        <v>48</v>
      </c>
      <c r="K18" s="9">
        <v>41</v>
      </c>
      <c r="L18" s="9" t="str">
        <v>Perpajakan</v>
      </c>
      <c r="M18" s="9" t="str">
        <v xml:space="preserve">KC Jakarta Rasuna Said                  </v>
      </c>
      <c r="N18" s="9" t="str">
        <v xml:space="preserve">KC Jakarta Rasuna Said                  </v>
      </c>
      <c r="O18" s="9" t="str">
        <v xml:space="preserve">DKI2                                    </v>
      </c>
      <c r="P18" s="9">
        <v>0</v>
      </c>
      <c r="Q18" s="9">
        <v>0</v>
      </c>
      <c r="R18" s="9" t="str">
        <v>Belum TL</v>
      </c>
      <c r="S18" s="9" t="str">
        <v>Belum TL</v>
      </c>
      <c r="T18" s="9" t="str">
        <v>90171841 - Rifqi Aziz</v>
      </c>
      <c r="U18" s="9" t="str">
        <v>"-"</v>
      </c>
      <c r="V18" s="12" t="s">
        <v>24</v>
      </c>
      <c r="W18" s="12"/>
      <c r="X18" s="14" t="b">
        <f>[3]STR!$X18</f>
        <v>0</v>
      </c>
    </row>
    <row r="19" spans="1:24">
      <c r="A19" s="8">
        <v>46265</v>
      </c>
      <c r="B19" s="9" t="str">
        <v xml:space="preserve">DRS MUDJI WALUYO SH MM                  </v>
      </c>
      <c r="C19" s="9" t="str">
        <v>MVC5934</v>
      </c>
      <c r="D19" s="9">
        <v>0</v>
      </c>
      <c r="E19" s="9" t="str">
        <v>TINGGI</v>
      </c>
      <c r="F19" s="9" t="str">
        <v>Tidak</v>
      </c>
      <c r="G19" s="9" t="str">
        <v>Tidak</v>
      </c>
      <c r="H19" s="9" t="str">
        <v>Tidak</v>
      </c>
      <c r="I19" s="9" t="str">
        <v>Private or Priority Customer Investment</v>
      </c>
      <c r="J19" s="9">
        <v>78</v>
      </c>
      <c r="K19" s="9">
        <v>93</v>
      </c>
      <c r="L19" s="9" t="str">
        <v>Pasar Modal</v>
      </c>
      <c r="M19" s="9" t="str">
        <v xml:space="preserve">KCP TELKOM LANDMARK TOWER               </v>
      </c>
      <c r="N19" s="9" t="str">
        <v xml:space="preserve">KC Jakarta Gatot Subroto                </v>
      </c>
      <c r="O19" s="9" t="str">
        <v xml:space="preserve">DKI2                                    </v>
      </c>
      <c r="P19" s="9">
        <v>0</v>
      </c>
      <c r="Q19" s="9">
        <v>0</v>
      </c>
      <c r="R19" s="9" t="str">
        <v>Belum TL</v>
      </c>
      <c r="S19" s="9" t="str">
        <v>Belum TL</v>
      </c>
      <c r="T19" s="9" t="str">
        <v>90186790 - Muhammad Alfin Farha</v>
      </c>
      <c r="U19" s="9" t="str">
        <v>"-"</v>
      </c>
      <c r="V19" s="12" t="s">
        <v>24</v>
      </c>
      <c r="W19" s="12"/>
      <c r="X19" s="14" t="b">
        <f>[3]STR!$X19</f>
        <v>0</v>
      </c>
    </row>
    <row r="20" spans="1:24">
      <c r="A20" s="8">
        <v>46265</v>
      </c>
      <c r="B20" s="9" t="str">
        <v xml:space="preserve">PT. POLA PENAWAR BANGUN SEMESTA         </v>
      </c>
      <c r="C20" s="9" t="str">
        <v>PF57896</v>
      </c>
      <c r="D20" s="9">
        <v>37801001039306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Perpajakan</v>
      </c>
      <c r="J20" s="9">
        <v>48</v>
      </c>
      <c r="K20" s="9">
        <v>41</v>
      </c>
      <c r="L20" s="9" t="str">
        <v>Perpajakan</v>
      </c>
      <c r="M20" s="9" t="str">
        <v xml:space="preserve">KC Jakarta Rasuna Said                  </v>
      </c>
      <c r="N20" s="9" t="str">
        <v xml:space="preserve">KC Jakarta Rasuna Said                  </v>
      </c>
      <c r="O20" s="9" t="str">
        <v xml:space="preserve">DKI2                                    </v>
      </c>
      <c r="P20" s="9">
        <v>0</v>
      </c>
      <c r="Q20" s="9">
        <v>0</v>
      </c>
      <c r="R20" s="9" t="str">
        <v>Belum TL</v>
      </c>
      <c r="S20" s="9" t="str">
        <v>Belum TL</v>
      </c>
      <c r="T20" s="9" t="str">
        <v>00394520 - Frida Akbar Rani</v>
      </c>
      <c r="U20" s="9" t="str">
        <v>"-"</v>
      </c>
      <c r="V20" s="12" t="s">
        <v>24</v>
      </c>
      <c r="W20" s="12"/>
      <c r="X20" s="14" t="b">
        <f>[3]STR!$X20</f>
        <v>0</v>
      </c>
    </row>
    <row r="21" spans="1:24">
      <c r="A21" s="8">
        <v>46265</v>
      </c>
      <c r="B21" s="9" t="str">
        <v xml:space="preserve">PT HARDAYA INTI PLANTATIONS             </v>
      </c>
      <c r="C21" s="9" t="str">
        <v>POG7708</v>
      </c>
      <c r="D21" s="9">
        <v>37601998899568</v>
      </c>
      <c r="E21" s="9">
        <v>0</v>
      </c>
      <c r="F21" s="9" t="str">
        <v>Tidak</v>
      </c>
      <c r="G21" s="9" t="str">
        <v>Tidak</v>
      </c>
      <c r="H21" s="9" t="str">
        <v>Tidak</v>
      </c>
      <c r="I21" s="9" t="str">
        <v>Perpajakan</v>
      </c>
      <c r="J21" s="9">
        <v>33</v>
      </c>
      <c r="K21" s="9">
        <v>41</v>
      </c>
      <c r="L21" s="9" t="str">
        <v>Perpajakan</v>
      </c>
      <c r="M21" s="9" t="str">
        <v xml:space="preserve">KC Jakarta Sudirman 1                   </v>
      </c>
      <c r="N21" s="9" t="str">
        <v xml:space="preserve">KC Jakarta Sudirman 1                   </v>
      </c>
      <c r="O21" s="9" t="str">
        <v xml:space="preserve">DKI2                                    </v>
      </c>
      <c r="P21" s="9">
        <v>0</v>
      </c>
      <c r="Q21" s="9">
        <v>0</v>
      </c>
      <c r="R21" s="9" t="str">
        <v>Belum TL</v>
      </c>
      <c r="S21" s="9" t="str">
        <v>Belum TL</v>
      </c>
      <c r="T21" s="9" t="str">
        <v>00394521 - Muhammad Hibbanduta</v>
      </c>
      <c r="U21" s="9" t="str">
        <v>"-"</v>
      </c>
      <c r="V21" s="12" t="s">
        <v>24</v>
      </c>
      <c r="W21" s="12"/>
      <c r="X21" s="14" t="b">
        <f>[3]STR!$X21</f>
        <v>0</v>
      </c>
    </row>
    <row r="22" spans="1:24">
      <c r="A22" s="8">
        <v>46265</v>
      </c>
      <c r="B22" s="9" t="str">
        <v xml:space="preserve">RUDI HADI SUWARNO                       </v>
      </c>
      <c r="C22" s="9" t="str">
        <v>RCZP717</v>
      </c>
      <c r="D22" s="9">
        <v>1201262485506</v>
      </c>
      <c r="E22" s="9" t="str">
        <v>TINGGI</v>
      </c>
      <c r="F22" s="9" t="str">
        <v>Tidak</v>
      </c>
      <c r="G22" s="9" t="str">
        <v>Tidak</v>
      </c>
      <c r="H22" s="9" t="str">
        <v>Tidak</v>
      </c>
      <c r="I22" s="9" t="str">
        <v>Narkotika - Area Lapas</v>
      </c>
      <c r="J22" s="9">
        <v>65</v>
      </c>
      <c r="K22" s="9">
        <v>48</v>
      </c>
      <c r="L22" s="9" t="str">
        <v>Narkotika</v>
      </c>
      <c r="M22" s="9" t="str">
        <v>KC Bogor</v>
      </c>
      <c r="N22" s="9" t="str">
        <v>KC Bogor</v>
      </c>
      <c r="O22" s="9" t="str">
        <v>DKI2</v>
      </c>
      <c r="P22" s="9">
        <v>0</v>
      </c>
      <c r="Q22" s="9">
        <v>0</v>
      </c>
      <c r="R22" s="9" t="str">
        <v>Belum TL</v>
      </c>
      <c r="S22" s="9" t="str">
        <v>Belum TL</v>
      </c>
      <c r="T22" s="9" t="str">
        <v>90186796 - Devito Arya Wiradila</v>
      </c>
      <c r="U22" s="9" t="str">
        <v>"-"</v>
      </c>
      <c r="V22" s="12" t="s">
        <v>24</v>
      </c>
      <c r="W22" s="12"/>
      <c r="X22" s="14" t="b">
        <f>[3]STR!$X22</f>
        <v>0</v>
      </c>
    </row>
    <row r="23" spans="1:24">
      <c r="A23" s="8">
        <v>46265</v>
      </c>
      <c r="B23" s="9" t="str">
        <v xml:space="preserve">RANI MUSTIKA ZAHRA SUPRIADI             </v>
      </c>
      <c r="C23" s="9" t="str">
        <v>ROS8128</v>
      </c>
      <c r="D23" s="9">
        <v>1201284821500</v>
      </c>
      <c r="E23" s="9">
        <v>0</v>
      </c>
      <c r="F23" s="9" t="str">
        <v>Tidak</v>
      </c>
      <c r="G23" s="9" t="str">
        <v>Tidak</v>
      </c>
      <c r="H23" s="9">
        <v>0</v>
      </c>
      <c r="I23" s="9" t="str">
        <v>Jual Beli Rekening - E channel Trx</v>
      </c>
      <c r="J23" s="9">
        <v>33</v>
      </c>
      <c r="K23" s="9">
        <v>113</v>
      </c>
      <c r="L23" s="9" t="str">
        <v>Narkotika/Judi Online/Penipuan</v>
      </c>
      <c r="M23" s="9" t="str">
        <v xml:space="preserve">KC Bogor                                </v>
      </c>
      <c r="N23" s="9" t="str">
        <v xml:space="preserve">KC Bogor                                </v>
      </c>
      <c r="O23" s="9" t="str">
        <v xml:space="preserve">DKI2                                    </v>
      </c>
      <c r="P23" s="9">
        <v>0</v>
      </c>
      <c r="Q23" s="9">
        <v>0</v>
      </c>
      <c r="R23" s="9" t="str">
        <v>Belum TL</v>
      </c>
      <c r="S23" s="9" t="str">
        <v>Belum TL</v>
      </c>
      <c r="T23" s="9">
        <v>0</v>
      </c>
      <c r="U23" s="9" t="str">
        <v>"-"</v>
      </c>
      <c r="V23" s="12" t="s">
        <v>24</v>
      </c>
      <c r="W23" s="12"/>
      <c r="X23" s="14" t="b">
        <f>[3]STR!$X23</f>
        <v>0</v>
      </c>
    </row>
    <row r="24" spans="1:24">
      <c r="A24" s="8">
        <v>46265</v>
      </c>
      <c r="B24" s="9" t="str">
        <v xml:space="preserve">WAHANA AGUNG ABADI                      </v>
      </c>
      <c r="C24" s="9" t="str">
        <v>WJI9743</v>
      </c>
      <c r="D24" s="9">
        <v>42601002005567</v>
      </c>
      <c r="E24" s="9" t="str">
        <v>SEDANG</v>
      </c>
      <c r="F24" s="9" t="str">
        <v>Tidak</v>
      </c>
      <c r="G24" s="9" t="str">
        <v>Tidak</v>
      </c>
      <c r="H24" s="9" t="str">
        <v>Tidak</v>
      </c>
      <c r="I24" s="9" t="str">
        <v>Perpajakan</v>
      </c>
      <c r="J24" s="9">
        <v>48</v>
      </c>
      <c r="K24" s="9">
        <v>41</v>
      </c>
      <c r="L24" s="9" t="str">
        <v>Perpajakan</v>
      </c>
      <c r="M24" s="9" t="str">
        <v xml:space="preserve">KC BRI Jakarta Menara Brilian           </v>
      </c>
      <c r="N24" s="9" t="str">
        <v xml:space="preserve">KC BRI Jakarta Menara Brilian           </v>
      </c>
      <c r="O24" s="9" t="str">
        <v xml:space="preserve">DKI2                                    </v>
      </c>
      <c r="P24" s="9">
        <v>0</v>
      </c>
      <c r="Q24" s="9">
        <v>0</v>
      </c>
      <c r="R24" s="9" t="str">
        <v>Belum TL</v>
      </c>
      <c r="S24" s="9" t="str">
        <v>Belum TL</v>
      </c>
      <c r="T24" s="9" t="str">
        <v>90170665 - Mutiara Ayuningtyas</v>
      </c>
      <c r="U24" s="9" t="str">
        <v>"-"</v>
      </c>
      <c r="V24" s="12" t="s">
        <v>24</v>
      </c>
      <c r="W24" s="12"/>
      <c r="X24" s="14" t="b">
        <f>[3]STR!$X24</f>
        <v>0</v>
      </c>
    </row>
    <row r="25" spans="1:24">
      <c r="A25" s="8">
        <v>46265</v>
      </c>
      <c r="B25" s="9" t="str">
        <v xml:space="preserve">PT SINARNIAGA SEJAHTERA                 </v>
      </c>
      <c r="C25" s="9" t="str">
        <v>PU95219</v>
      </c>
      <c r="D25" s="9">
        <v>115301000034308</v>
      </c>
      <c r="E25" s="9" t="str">
        <v>TINGGI</v>
      </c>
      <c r="F25" s="9" t="str">
        <v>Tidak</v>
      </c>
      <c r="G25" s="9" t="str">
        <v>Tidak</v>
      </c>
      <c r="H25" s="9" t="str">
        <v>Tidak</v>
      </c>
      <c r="I25" s="9" t="str">
        <v>Perpajakan</v>
      </c>
      <c r="J25" s="9">
        <v>65</v>
      </c>
      <c r="K25" s="9">
        <v>1.33</v>
      </c>
      <c r="L25" s="9" t="str">
        <v>Perpajakan</v>
      </c>
      <c r="M25" s="9" t="str">
        <v xml:space="preserve">KCP SULTAN AGUNG                        </v>
      </c>
      <c r="N25" s="9" t="str">
        <v xml:space="preserve">KC Bekasi Harapan Indah                 </v>
      </c>
      <c r="O25" s="9" t="str">
        <v xml:space="preserve">DKI2                                    </v>
      </c>
      <c r="P25" s="9" t="str">
        <v>Tidak</v>
      </c>
      <c r="Q25" s="9" t="str">
        <v>Tidak</v>
      </c>
      <c r="R25" s="9" t="str">
        <v>Pending Approver</v>
      </c>
      <c r="S25" s="9" t="str">
        <v>Pending Checker</v>
      </c>
      <c r="T25" s="9" t="str">
        <v>90171841 - Rifqi Aziz</v>
      </c>
      <c r="U25" s="9" t="str">
        <v>"-"</v>
      </c>
      <c r="V25" s="12" t="s">
        <v>24</v>
      </c>
      <c r="W25" s="12"/>
      <c r="X25" s="14" t="b">
        <f>[3]STR!$X25</f>
        <v>1</v>
      </c>
    </row>
    <row r="26" spans="1:24">
      <c r="A26" s="8">
        <v>46265</v>
      </c>
      <c r="B26" s="9" t="str">
        <v xml:space="preserve">PT DIGITAL RAYA SEMESTA                 </v>
      </c>
      <c r="C26" s="9" t="str">
        <v>DDT0643</v>
      </c>
      <c r="D26" s="9">
        <v>122301000162304</v>
      </c>
      <c r="E26" s="9" t="str">
        <v>SEDANG</v>
      </c>
      <c r="F26" s="9" t="str">
        <v>Tidak</v>
      </c>
      <c r="G26" s="9" t="str">
        <v>Tidak</v>
      </c>
      <c r="H26" s="9" t="str">
        <v>Tidak</v>
      </c>
      <c r="I26" s="9" t="str">
        <v>Narkotika - Area Lapas</v>
      </c>
      <c r="J26" s="9">
        <v>50</v>
      </c>
      <c r="K26" s="9">
        <v>46</v>
      </c>
      <c r="L26" s="9" t="str">
        <v>Narkotika</v>
      </c>
      <c r="M26" s="9" t="str">
        <v>KC JAKARTA MEGA KUNINGAN</v>
      </c>
      <c r="N26" s="9" t="str">
        <v>KC JAKARTA MEGA KUNINGAN</v>
      </c>
      <c r="O26" s="9" t="str">
        <v>DKI2</v>
      </c>
      <c r="P26" s="9" t="str">
        <v>Tidak</v>
      </c>
      <c r="Q26" s="9">
        <v>0</v>
      </c>
      <c r="R26" s="9" t="str">
        <v>Done</v>
      </c>
      <c r="S26" s="9" t="str">
        <v>Belum TL</v>
      </c>
      <c r="T26" s="9" t="str">
        <v>90150130 - Intan Aida Pratiwi</v>
      </c>
      <c r="U26" s="9" t="str">
        <v>"-"</v>
      </c>
      <c r="V26" s="12" t="s">
        <v>24</v>
      </c>
      <c r="W26" s="12"/>
      <c r="X26" s="14" t="b">
        <f>[3]STR!$X26</f>
        <v>1</v>
      </c>
    </row>
    <row r="27" spans="1:24">
      <c r="A27" s="8">
        <v>46265</v>
      </c>
      <c r="B27" s="9" t="str">
        <v xml:space="preserve">KRISTIAN SIHAR MANULLANG                </v>
      </c>
      <c r="C27" s="9" t="str">
        <v>KVP8409</v>
      </c>
      <c r="D27" s="9">
        <v>0</v>
      </c>
      <c r="E27" s="9" t="str">
        <v>TINGGI</v>
      </c>
      <c r="F27" s="9" t="str">
        <v>Tidak</v>
      </c>
      <c r="G27" s="9" t="str">
        <v>Tidak</v>
      </c>
      <c r="H27" s="9" t="str">
        <v>Tidak</v>
      </c>
      <c r="I27" s="9" t="str">
        <v>Private or Priority Customer Investment</v>
      </c>
      <c r="J27" s="9">
        <v>78</v>
      </c>
      <c r="K27" s="9">
        <v>93</v>
      </c>
      <c r="L27" s="9" t="str">
        <v>Pasar Modal</v>
      </c>
      <c r="M27" s="9" t="str">
        <v xml:space="preserve">KC Jakarta Gatot Subroto                </v>
      </c>
      <c r="N27" s="9" t="str">
        <v xml:space="preserve">KC Jakarta Gatot Subroto                </v>
      </c>
      <c r="O27" s="9" t="str">
        <v xml:space="preserve">DKI2                                    </v>
      </c>
      <c r="P27" s="9" t="str">
        <v>Tidak</v>
      </c>
      <c r="Q27" s="9">
        <v>0</v>
      </c>
      <c r="R27" s="9" t="str">
        <v>Done</v>
      </c>
      <c r="S27" s="9" t="str">
        <v>Belum TL</v>
      </c>
      <c r="T27" s="9" t="str">
        <v>90170665 - Mutiara Ayuningtyas</v>
      </c>
      <c r="U27" s="9" t="str">
        <v>"-"</v>
      </c>
      <c r="V27" s="12" t="s">
        <v>24</v>
      </c>
      <c r="W27" s="12"/>
      <c r="X27" s="14" t="b">
        <f>[3]STR!$X27</f>
        <v>0</v>
      </c>
    </row>
    <row r="28" spans="1:24">
      <c r="A28" s="8">
        <v>46265</v>
      </c>
      <c r="B28" s="9" t="str">
        <v xml:space="preserve">PT DAYA KOBELCO CMI                     </v>
      </c>
      <c r="C28" s="9" t="str">
        <v>DUR9925</v>
      </c>
      <c r="D28" s="9">
        <v>36201002132304</v>
      </c>
      <c r="E28" s="9" t="str">
        <v>SEDANG</v>
      </c>
      <c r="F28" s="9" t="str">
        <v>Tidak</v>
      </c>
      <c r="G28" s="9" t="str">
        <v>Tidak</v>
      </c>
      <c r="H28" s="9" t="str">
        <v>Tidak</v>
      </c>
      <c r="I28" s="9" t="str">
        <v>Narkotika - Area Lapas</v>
      </c>
      <c r="J28" s="9">
        <v>50</v>
      </c>
      <c r="K28" s="9">
        <v>47</v>
      </c>
      <c r="L28" s="9" t="str">
        <v>Narkotika</v>
      </c>
      <c r="M28" s="9" t="str">
        <v>KC Jakarta Pondok Indah</v>
      </c>
      <c r="N28" s="9" t="str">
        <v>KC Jakarta Pondok Indah</v>
      </c>
      <c r="O28" s="9" t="str">
        <v>DKI2</v>
      </c>
      <c r="P28" s="9" t="str">
        <v>Tidak</v>
      </c>
      <c r="Q28" s="9">
        <v>0</v>
      </c>
      <c r="R28" s="9" t="str">
        <v>Done</v>
      </c>
      <c r="S28" s="9" t="str">
        <v>Belum TL</v>
      </c>
      <c r="T28" s="9" t="str">
        <v>90185537 - Moh.Khoerul Fajar Ar</v>
      </c>
      <c r="U28" s="9" t="str">
        <v>"-"</v>
      </c>
      <c r="V28" s="12" t="s">
        <v>24</v>
      </c>
      <c r="W28" s="12"/>
      <c r="X28" s="14" t="b">
        <f>[3]STR!$X28</f>
        <v>1</v>
      </c>
    </row>
    <row r="29" spans="1:24">
      <c r="A29" s="8">
        <v>46265</v>
      </c>
      <c r="B29" s="9" t="str">
        <v xml:space="preserve">MEGA GEMILANG INDOPRIMA PLANT 1         </v>
      </c>
      <c r="C29" s="9" t="str">
        <v>MDJY811</v>
      </c>
      <c r="D29" s="9">
        <v>201801000080306</v>
      </c>
      <c r="E29" s="9" t="str">
        <v>SEDANG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50</v>
      </c>
      <c r="K29" s="9">
        <v>41</v>
      </c>
      <c r="L29" s="9" t="str">
        <v>Perpajakan</v>
      </c>
      <c r="M29" s="9" t="str">
        <v xml:space="preserve">KCP MABES POLRI                         </v>
      </c>
      <c r="N29" s="9" t="str">
        <v xml:space="preserve">KC Jakarta Kebayoran Baru               </v>
      </c>
      <c r="O29" s="9" t="str">
        <v xml:space="preserve">DKI2                                    </v>
      </c>
      <c r="P29" s="9" t="str">
        <v>Tidak</v>
      </c>
      <c r="Q29" s="9" t="str">
        <v>Tidak</v>
      </c>
      <c r="R29" s="9" t="str">
        <v>Done</v>
      </c>
      <c r="S29" s="9" t="str">
        <v>Pending Checker</v>
      </c>
      <c r="T29" s="9" t="str">
        <v>90185537 - Moh.Khoerul Fajar Ar</v>
      </c>
      <c r="U29" s="9" t="str">
        <v>"-"</v>
      </c>
      <c r="V29" s="12" t="s">
        <v>24</v>
      </c>
      <c r="W29" s="12"/>
      <c r="X29" s="14" t="b">
        <f>[3]STR!$X29</f>
        <v>1</v>
      </c>
    </row>
    <row r="30" spans="1:24">
      <c r="A30" s="8">
        <v>46265</v>
      </c>
      <c r="B30" s="9" t="str">
        <v xml:space="preserve">RPL 088 PS PUSKEU POLRI UTK KPRLN RUTIN </v>
      </c>
      <c r="C30" s="9" t="str">
        <v>RCZD612</v>
      </c>
      <c r="D30" s="9">
        <v>201801000121306</v>
      </c>
      <c r="E30" s="9" t="str">
        <v>SEDANG</v>
      </c>
      <c r="F30" s="9" t="str">
        <v>Tidak</v>
      </c>
      <c r="G30" s="9" t="str">
        <v>Tidak</v>
      </c>
      <c r="H30" s="9" t="str">
        <v>Tidak</v>
      </c>
      <c r="I30" s="9" t="str">
        <v>Perpajakan</v>
      </c>
      <c r="J30" s="9">
        <v>48</v>
      </c>
      <c r="K30" s="9">
        <v>41</v>
      </c>
      <c r="L30" s="9" t="str">
        <v>Perpajakan</v>
      </c>
      <c r="M30" s="9" t="str">
        <v xml:space="preserve">KCP MABES POLRI                         </v>
      </c>
      <c r="N30" s="9" t="str">
        <v xml:space="preserve">KC Jakarta Kebayoran Baru               </v>
      </c>
      <c r="O30" s="9" t="str">
        <v xml:space="preserve">DKI2                                    </v>
      </c>
      <c r="P30" s="9" t="str">
        <v>Tidak</v>
      </c>
      <c r="Q30" s="9" t="str">
        <v>Tidak</v>
      </c>
      <c r="R30" s="9" t="str">
        <v>Done</v>
      </c>
      <c r="S30" s="9" t="str">
        <v>Pending Checker</v>
      </c>
      <c r="T30" s="9" t="str">
        <v>00394521 - Muhammad Hibbanduta</v>
      </c>
      <c r="U30" s="9" t="str">
        <v>"-"</v>
      </c>
      <c r="V30" s="12" t="s">
        <v>24</v>
      </c>
      <c r="W30" s="12"/>
      <c r="X30" s="14" t="b">
        <f>[3]STR!$X30</f>
        <v>1</v>
      </c>
    </row>
    <row r="31" spans="1:24">
      <c r="A31" s="8">
        <v>46265</v>
      </c>
      <c r="B31" s="9" t="str">
        <v xml:space="preserve">PT MENTARI KARYA TANI                   </v>
      </c>
      <c r="C31" s="9" t="str">
        <v>PNL6130</v>
      </c>
      <c r="D31" s="9">
        <v>43001001436308</v>
      </c>
      <c r="E31" s="9">
        <v>0</v>
      </c>
      <c r="F31" s="9" t="str">
        <v>Tidak</v>
      </c>
      <c r="G31" s="9" t="str">
        <v>Tidak</v>
      </c>
      <c r="H31" s="9" t="str">
        <v>Tidak</v>
      </c>
      <c r="I31" s="9" t="str">
        <v>Perpajakan</v>
      </c>
      <c r="J31" s="9">
        <v>33</v>
      </c>
      <c r="K31" s="9">
        <v>41</v>
      </c>
      <c r="L31" s="9" t="str">
        <v>Perpajakan</v>
      </c>
      <c r="M31" s="9" t="str">
        <v xml:space="preserve">KC Jakarta Radio Dalam                  </v>
      </c>
      <c r="N31" s="9" t="str">
        <v xml:space="preserve">KC Jakarta Radio Dalam                  </v>
      </c>
      <c r="O31" s="9" t="str">
        <v xml:space="preserve">DKI2                                    </v>
      </c>
      <c r="P31" s="9" t="str">
        <v>Tidak</v>
      </c>
      <c r="Q31" s="9" t="str">
        <v>Tidak</v>
      </c>
      <c r="R31" s="9" t="str">
        <v>Done</v>
      </c>
      <c r="S31" s="9" t="str">
        <v>Pending Checker</v>
      </c>
      <c r="T31" s="9" t="str">
        <v>90186796 - Devito Arya Wiradila</v>
      </c>
      <c r="U31" s="9" t="str">
        <v>"-"</v>
      </c>
      <c r="V31" s="12" t="s">
        <v>24</v>
      </c>
      <c r="W31" s="12"/>
      <c r="X31" s="14" t="b">
        <f>[3]STR!$X31</f>
        <v>1</v>
      </c>
    </row>
    <row r="32" spans="1:24">
      <c r="A32" s="8">
        <v>46265</v>
      </c>
      <c r="B32" s="9" t="str">
        <v xml:space="preserve">PRIMA PUTRA AGUNG                       </v>
      </c>
      <c r="C32" s="9" t="str">
        <v>PHS7632</v>
      </c>
      <c r="D32" s="9">
        <v>43001000881306</v>
      </c>
      <c r="E32" s="9" t="str">
        <v>SEDANG</v>
      </c>
      <c r="F32" s="9" t="str">
        <v>Tidak</v>
      </c>
      <c r="G32" s="9" t="str">
        <v>Tidak</v>
      </c>
      <c r="H32" s="9" t="str">
        <v>Tidak</v>
      </c>
      <c r="I32" s="9" t="str">
        <v>Perpajakan</v>
      </c>
      <c r="J32" s="9">
        <v>50</v>
      </c>
      <c r="K32" s="9">
        <v>1.33</v>
      </c>
      <c r="L32" s="9" t="str">
        <v>Perpajakan</v>
      </c>
      <c r="M32" s="9" t="str">
        <v xml:space="preserve">KC Jakarta Radio Dalam                  </v>
      </c>
      <c r="N32" s="9" t="str">
        <v xml:space="preserve">KC Jakarta Radio Dalam                  </v>
      </c>
      <c r="O32" s="9" t="str">
        <v xml:space="preserve">DKI2                                    </v>
      </c>
      <c r="P32" s="9" t="str">
        <v>Tidak</v>
      </c>
      <c r="Q32" s="9" t="str">
        <v>Tidak</v>
      </c>
      <c r="R32" s="9" t="str">
        <v>Done</v>
      </c>
      <c r="S32" s="9" t="str">
        <v>Pending Checker</v>
      </c>
      <c r="T32" s="9" t="str">
        <v>00394521 - Muhammad Hibbanduta</v>
      </c>
      <c r="U32" s="9" t="str">
        <v>"-"</v>
      </c>
      <c r="V32" s="12" t="s">
        <v>24</v>
      </c>
      <c r="W32" s="12"/>
      <c r="X32" s="14" t="b">
        <f>[3]STR!$X32</f>
        <v>1</v>
      </c>
    </row>
    <row r="33" spans="1:24">
      <c r="A33" s="8">
        <v>46265</v>
      </c>
      <c r="B33" s="9" t="str">
        <v xml:space="preserve">SINAR DIGITAL TERDEPAN                  </v>
      </c>
      <c r="C33" s="9" t="str">
        <v>SQZW367</v>
      </c>
      <c r="D33" s="9">
        <v>122301000593301</v>
      </c>
      <c r="E33" s="9" t="str">
        <v>SEDANG</v>
      </c>
      <c r="F33" s="9" t="str">
        <v>Tidak</v>
      </c>
      <c r="G33" s="9" t="str">
        <v>Tidak</v>
      </c>
      <c r="H33" s="9" t="str">
        <v>Tidak</v>
      </c>
      <c r="I33" s="9" t="str">
        <v>Narkotika/Psikotropika- Remark</v>
      </c>
      <c r="J33" s="9">
        <v>50</v>
      </c>
      <c r="K33" s="9">
        <v>9</v>
      </c>
      <c r="L33" s="9" t="str">
        <v>Narkotika/Psikotropika</v>
      </c>
      <c r="M33" s="9" t="str">
        <v xml:space="preserve">KC JAKARTA MEGA KUNINGAN                </v>
      </c>
      <c r="N33" s="9" t="str">
        <v xml:space="preserve">KC JAKARTA MEGA KUNINGAN                </v>
      </c>
      <c r="O33" s="9" t="str">
        <v xml:space="preserve">DKI2                                    </v>
      </c>
      <c r="P33" s="9" t="str">
        <v>Tidak</v>
      </c>
      <c r="Q33" s="9" t="str">
        <v>Tidak</v>
      </c>
      <c r="R33" s="9" t="str">
        <v>Done</v>
      </c>
      <c r="S33" s="9" t="str">
        <v>Pending Checker</v>
      </c>
      <c r="T33" s="9" t="str">
        <v>90185538 - Muhammad Fahikal Auz</v>
      </c>
      <c r="U33" s="9" t="str">
        <v>"-"</v>
      </c>
      <c r="V33" s="12" t="s">
        <v>24</v>
      </c>
      <c r="W33" s="12"/>
      <c r="X33" s="14" t="b">
        <f>[3]STR!$X33</f>
        <v>1</v>
      </c>
    </row>
    <row r="34" spans="1:24">
      <c r="A34" s="8">
        <v>46265</v>
      </c>
      <c r="B34" s="9" t="str">
        <v xml:space="preserve">KLINIK YADIKA SIBISA MANGATUR           </v>
      </c>
      <c r="C34" s="9" t="str">
        <v>KTC3299</v>
      </c>
      <c r="D34" s="9">
        <v>43001001128303</v>
      </c>
      <c r="E34" s="9" t="str">
        <v>SEDANG</v>
      </c>
      <c r="F34" s="9" t="str">
        <v>Tidak</v>
      </c>
      <c r="G34" s="9" t="str">
        <v>Tidak</v>
      </c>
      <c r="H34" s="9" t="str">
        <v>Tidak</v>
      </c>
      <c r="I34" s="9" t="str">
        <v>Perpajakan</v>
      </c>
      <c r="J34" s="9">
        <v>50</v>
      </c>
      <c r="K34" s="9">
        <v>41</v>
      </c>
      <c r="L34" s="9" t="str">
        <v>Perpajakan</v>
      </c>
      <c r="M34" s="9" t="str">
        <v xml:space="preserve">KC Jakarta Radio Dalam                  </v>
      </c>
      <c r="N34" s="9" t="str">
        <v xml:space="preserve">KC Jakarta Radio Dalam                  </v>
      </c>
      <c r="O34" s="9" t="str">
        <v xml:space="preserve">DKI2                                    </v>
      </c>
      <c r="P34" s="9" t="str">
        <v>Tidak</v>
      </c>
      <c r="Q34" s="9" t="str">
        <v>Tidak</v>
      </c>
      <c r="R34" s="9" t="str">
        <v>Done</v>
      </c>
      <c r="S34" s="9" t="str">
        <v>Pending Checker</v>
      </c>
      <c r="T34" s="9" t="str">
        <v>90150130 - Intan Aida Pratiwi</v>
      </c>
      <c r="U34" s="9" t="str">
        <v>"-"</v>
      </c>
      <c r="V34" s="12" t="s">
        <v>24</v>
      </c>
      <c r="W34" s="12"/>
      <c r="X34" s="14" t="b">
        <f>[3]STR!$X34</f>
        <v>1</v>
      </c>
    </row>
    <row r="35" spans="1:24">
      <c r="A35" s="8">
        <v>46265</v>
      </c>
      <c r="B35" s="9" t="str">
        <v xml:space="preserve">KARYA YAKIN SUKSES SEJAHTERA            </v>
      </c>
      <c r="C35" s="9" t="str">
        <v>KZI4907</v>
      </c>
      <c r="D35" s="9">
        <v>210101001839307</v>
      </c>
      <c r="E35" s="9">
        <v>0</v>
      </c>
      <c r="F35" s="9" t="str">
        <v>Tidak</v>
      </c>
      <c r="G35" s="9" t="str">
        <v>Tidak</v>
      </c>
      <c r="H35" s="9" t="str">
        <v>Tidak</v>
      </c>
      <c r="I35" s="9" t="str">
        <v>Perpajakan</v>
      </c>
      <c r="J35" s="9">
        <v>33</v>
      </c>
      <c r="K35" s="9">
        <v>41</v>
      </c>
      <c r="L35" s="9" t="str">
        <v>Perpajakan</v>
      </c>
      <c r="M35" s="9" t="str">
        <v xml:space="preserve">KC Mabes TNI Cilangkap                  </v>
      </c>
      <c r="N35" s="9" t="str">
        <v xml:space="preserve">KC Mabes TNI Cilangkap                  </v>
      </c>
      <c r="O35" s="9" t="str">
        <v xml:space="preserve">DKI2                                    </v>
      </c>
      <c r="P35" s="9" t="str">
        <v>Tidak</v>
      </c>
      <c r="Q35" s="9" t="str">
        <v>Tidak</v>
      </c>
      <c r="R35" s="9" t="str">
        <v>Done</v>
      </c>
      <c r="S35" s="9" t="str">
        <v>Pending Checker</v>
      </c>
      <c r="T35" s="9" t="str">
        <v>90171841 - Rifqi Aziz</v>
      </c>
      <c r="U35" s="9" t="str">
        <v>"-"</v>
      </c>
      <c r="V35" s="12" t="s">
        <v>24</v>
      </c>
      <c r="W35" s="12"/>
      <c r="X35" s="14" t="b">
        <f>[3]STR!$X35</f>
        <v>1</v>
      </c>
    </row>
    <row r="36" spans="1:24">
      <c r="A36" s="8">
        <v>46265</v>
      </c>
      <c r="B36" s="9" t="str">
        <v xml:space="preserve">KREASI USAHA CIPTA UTAMA                </v>
      </c>
      <c r="C36" s="9" t="str">
        <v>KATS206</v>
      </c>
      <c r="D36" s="9">
        <v>31901002606306</v>
      </c>
      <c r="E36" s="9">
        <v>0</v>
      </c>
      <c r="F36" s="9" t="str">
        <v>Tidak</v>
      </c>
      <c r="G36" s="9" t="str">
        <v>Tidak</v>
      </c>
      <c r="H36" s="9" t="str">
        <v>Tidak</v>
      </c>
      <c r="I36" s="9" t="str">
        <v>Perpajakan</v>
      </c>
      <c r="J36" s="9">
        <v>33</v>
      </c>
      <c r="K36" s="9">
        <v>41</v>
      </c>
      <c r="L36" s="9" t="str">
        <v>Perpajakan</v>
      </c>
      <c r="M36" s="9" t="str">
        <v xml:space="preserve">KC Cikarang                             </v>
      </c>
      <c r="N36" s="9" t="str">
        <v xml:space="preserve">KC Cikarang                             </v>
      </c>
      <c r="O36" s="9" t="str">
        <v xml:space="preserve">DKI2                                    </v>
      </c>
      <c r="P36" s="9" t="str">
        <v>Tidak</v>
      </c>
      <c r="Q36" s="9" t="str">
        <v>Tidak</v>
      </c>
      <c r="R36" s="9" t="str">
        <v>Done</v>
      </c>
      <c r="S36" s="9" t="str">
        <v>Pending Checker</v>
      </c>
      <c r="T36" s="9" t="str">
        <v>90150130 - Intan Aida Pratiwi</v>
      </c>
      <c r="U36" s="9" t="str">
        <v>"-"</v>
      </c>
      <c r="V36" s="12" t="s">
        <v>24</v>
      </c>
      <c r="W36" s="12"/>
      <c r="X36" s="14" t="b">
        <f>[3]STR!$X36</f>
        <v>1</v>
      </c>
    </row>
    <row r="37" spans="1:24">
      <c r="A37" s="8">
        <v>46265</v>
      </c>
      <c r="B37" s="9" t="str">
        <v xml:space="preserve">KOPERASI KARYAWAN PT PLN UPD            </v>
      </c>
      <c r="C37" s="9" t="str">
        <v>KFK5524</v>
      </c>
      <c r="D37" s="9">
        <v>141401000036306</v>
      </c>
      <c r="E37" s="9" t="str">
        <v>SEDANG</v>
      </c>
      <c r="F37" s="9" t="str">
        <v>Tidak</v>
      </c>
      <c r="G37" s="9" t="str">
        <v>Tidak</v>
      </c>
      <c r="H37" s="9" t="str">
        <v>Tidak</v>
      </c>
      <c r="I37" s="9" t="str">
        <v>Perpajakan</v>
      </c>
      <c r="J37" s="9">
        <v>48</v>
      </c>
      <c r="K37" s="9">
        <v>41</v>
      </c>
      <c r="L37" s="9" t="str">
        <v>Perpajakan</v>
      </c>
      <c r="M37" s="9" t="str">
        <v xml:space="preserve">KCP PLN JAKARTA                         </v>
      </c>
      <c r="N37" s="9" t="str">
        <v xml:space="preserve">KC Jakarta Kebayoran Baru               </v>
      </c>
      <c r="O37" s="9" t="str">
        <v xml:space="preserve">DKI2                                    </v>
      </c>
      <c r="P37" s="9" t="str">
        <v>Tidak</v>
      </c>
      <c r="Q37" s="9" t="str">
        <v>Tidak</v>
      </c>
      <c r="R37" s="9" t="str">
        <v>Done</v>
      </c>
      <c r="S37" s="9" t="str">
        <v>Pending Checker</v>
      </c>
      <c r="T37" s="9" t="str">
        <v>90185538 - Muhammad Fahikal Auz</v>
      </c>
      <c r="U37" s="9" t="str">
        <v>"-"</v>
      </c>
      <c r="V37" s="12" t="s">
        <v>24</v>
      </c>
      <c r="W37" s="12"/>
      <c r="X37" s="14" t="b">
        <f>[3]STR!$X37</f>
        <v>1</v>
      </c>
    </row>
    <row r="38" spans="1:24">
      <c r="A38" s="8">
        <v>46265</v>
      </c>
      <c r="B38" s="9" t="str">
        <v xml:space="preserve">CITRA MARGA NUSAPHALA PERSADA TBK       </v>
      </c>
      <c r="C38" s="9" t="str">
        <v>CT70848</v>
      </c>
      <c r="D38" s="9">
        <v>121101000376300</v>
      </c>
      <c r="E38" s="9">
        <v>0</v>
      </c>
      <c r="F38" s="9" t="str">
        <v>Tidak</v>
      </c>
      <c r="G38" s="9" t="str">
        <v>Tidak</v>
      </c>
      <c r="H38" s="9" t="str">
        <v>Tidak</v>
      </c>
      <c r="I38" s="9" t="str">
        <v>Perpajakan</v>
      </c>
      <c r="J38" s="9">
        <v>33</v>
      </c>
      <c r="K38" s="9">
        <v>41</v>
      </c>
      <c r="L38" s="9" t="str">
        <v>Perpajakan</v>
      </c>
      <c r="M38" s="9" t="str">
        <v xml:space="preserve">KCP KEMENTERIAN PU                      </v>
      </c>
      <c r="N38" s="9" t="str">
        <v xml:space="preserve">KC Jakarta Kebayoran Baru               </v>
      </c>
      <c r="O38" s="9" t="str">
        <v xml:space="preserve">DKI2                                    </v>
      </c>
      <c r="P38" s="9" t="str">
        <v>Tidak</v>
      </c>
      <c r="Q38" s="9" t="str">
        <v>Tidak</v>
      </c>
      <c r="R38" s="9" t="str">
        <v>Done</v>
      </c>
      <c r="S38" s="9" t="str">
        <v>Pending Checker</v>
      </c>
      <c r="T38" s="9" t="str">
        <v>90186790 - Muhammad Alfin Farha</v>
      </c>
      <c r="U38" s="9" t="str">
        <v>"-"</v>
      </c>
      <c r="V38" s="12" t="s">
        <v>24</v>
      </c>
      <c r="W38" s="12"/>
      <c r="X38" s="14" t="b">
        <f>[3]STR!$X38</f>
        <v>1</v>
      </c>
    </row>
    <row r="39" spans="1:24">
      <c r="A39" s="8">
        <v>46265</v>
      </c>
      <c r="B39" s="9" t="str">
        <v xml:space="preserve">ALJERINDO NAWA SENA                     </v>
      </c>
      <c r="C39" s="9" t="str">
        <v>ADBNF29</v>
      </c>
      <c r="D39" s="9">
        <v>207101000459301</v>
      </c>
      <c r="E39" s="9">
        <v>0</v>
      </c>
      <c r="F39" s="9" t="str">
        <v>Tidak</v>
      </c>
      <c r="G39" s="9" t="str">
        <v>Tidak</v>
      </c>
      <c r="H39" s="9" t="str">
        <v>Tidak</v>
      </c>
      <c r="I39" s="9" t="str">
        <v>Perpajakan</v>
      </c>
      <c r="J39" s="9">
        <v>33</v>
      </c>
      <c r="K39" s="9">
        <v>41</v>
      </c>
      <c r="L39" s="9" t="str">
        <v>Perpajakan</v>
      </c>
      <c r="M39" s="9" t="str">
        <v xml:space="preserve">KCP JAMSOSTEK                           </v>
      </c>
      <c r="N39" s="9" t="str">
        <v xml:space="preserve">KC Jakarta Gatot Subroto                </v>
      </c>
      <c r="O39" s="9" t="str">
        <v xml:space="preserve">DKI2                                    </v>
      </c>
      <c r="P39" s="9" t="str">
        <v>Tidak</v>
      </c>
      <c r="Q39" s="9" t="str">
        <v>Tidak</v>
      </c>
      <c r="R39" s="9" t="str">
        <v>Done</v>
      </c>
      <c r="S39" s="9" t="str">
        <v>Pending Checker</v>
      </c>
      <c r="T39" s="9" t="str">
        <v>00394520 - Frida Akbar Rani</v>
      </c>
      <c r="U39" s="9" t="str">
        <v>"-"</v>
      </c>
      <c r="V39" s="12" t="s">
        <v>24</v>
      </c>
      <c r="W39" s="12"/>
      <c r="X39" s="14" t="b">
        <f>[3]STR!$X39</f>
        <v>1</v>
      </c>
    </row>
    <row r="40" spans="1:24">
      <c r="A40" s="8">
        <v>46265</v>
      </c>
      <c r="B40" s="9" t="str">
        <v xml:space="preserve">HARDAYA INTI PLANTATIONS                </v>
      </c>
      <c r="C40" s="9" t="str">
        <v>HXZ5646</v>
      </c>
      <c r="D40" s="9">
        <v>37601001929309</v>
      </c>
      <c r="E40" s="9" t="str">
        <v>SEDANG</v>
      </c>
      <c r="F40" s="9" t="str">
        <v>Tidak</v>
      </c>
      <c r="G40" s="9" t="str">
        <v>Tidak</v>
      </c>
      <c r="H40" s="9" t="str">
        <v>Tidak</v>
      </c>
      <c r="I40" s="9" t="str">
        <v>Perpajakan</v>
      </c>
      <c r="J40" s="9">
        <v>48</v>
      </c>
      <c r="K40" s="9">
        <v>41</v>
      </c>
      <c r="L40" s="9" t="str">
        <v>Perpajakan</v>
      </c>
      <c r="M40" s="9" t="str">
        <v xml:space="preserve">KC Jakarta Sudirman 1                   </v>
      </c>
      <c r="N40" s="9" t="str">
        <v xml:space="preserve">KC Jakarta Sudirman 1                   </v>
      </c>
      <c r="O40" s="9" t="str">
        <v xml:space="preserve">DKI2                                    </v>
      </c>
      <c r="P40" s="9" t="str">
        <v>Tidak</v>
      </c>
      <c r="Q40" s="9" t="str">
        <v>Tidak</v>
      </c>
      <c r="R40" s="9" t="str">
        <v>Done</v>
      </c>
      <c r="S40" s="9" t="str">
        <v>Approved</v>
      </c>
      <c r="T40" s="9" t="str">
        <v>90185537 - Moh.Khoerul Fajar Ar</v>
      </c>
      <c r="U40" s="9" t="str">
        <v>"-"</v>
      </c>
      <c r="V40" s="12" t="s">
        <v>24</v>
      </c>
      <c r="W40" s="12"/>
      <c r="X40" s="14" t="b">
        <f>[3]STR!$X40</f>
        <v>1</v>
      </c>
    </row>
    <row r="41" spans="1:24">
      <c r="A41" s="8">
        <v>46265</v>
      </c>
      <c r="B41" s="9" t="str">
        <v xml:space="preserve">FORCI CARAKA PRIMA                      </v>
      </c>
      <c r="C41" s="9" t="str">
        <v>FSE7400</v>
      </c>
      <c r="D41" s="9">
        <v>207101000487304</v>
      </c>
      <c r="E41" s="9">
        <v>0</v>
      </c>
      <c r="F41" s="9" t="str">
        <v>Tidak</v>
      </c>
      <c r="G41" s="9" t="str">
        <v>Tidak</v>
      </c>
      <c r="H41" s="9" t="str">
        <v>Tidak</v>
      </c>
      <c r="I41" s="9" t="str">
        <v>Perpajakan</v>
      </c>
      <c r="J41" s="9">
        <v>35</v>
      </c>
      <c r="K41" s="9">
        <v>41</v>
      </c>
      <c r="L41" s="9" t="str">
        <v>Perpajakan</v>
      </c>
      <c r="M41" s="9" t="str">
        <v xml:space="preserve">KCP JAMSOSTEK                           </v>
      </c>
      <c r="N41" s="9" t="str">
        <v xml:space="preserve">KC Jakarta Gatot Subroto                </v>
      </c>
      <c r="O41" s="9" t="str">
        <v xml:space="preserve">DKI2                                    </v>
      </c>
      <c r="P41" s="9" t="str">
        <v>Tidak</v>
      </c>
      <c r="Q41" s="9" t="str">
        <v>Tidak</v>
      </c>
      <c r="R41" s="9" t="str">
        <v>Done</v>
      </c>
      <c r="S41" s="9" t="str">
        <v>Approved</v>
      </c>
      <c r="T41" s="9" t="str">
        <v>00394520 - Frida Akbar Rani</v>
      </c>
      <c r="U41" s="9" t="str">
        <v>"-"</v>
      </c>
      <c r="V41" s="12" t="s">
        <v>24</v>
      </c>
      <c r="W41" s="12"/>
      <c r="X41" s="14" t="b">
        <f>[3]STR!$X41</f>
        <v>1</v>
      </c>
    </row>
    <row r="42" spans="1:24">
      <c r="A42" s="8">
        <v>46265</v>
      </c>
      <c r="B42" s="9" t="str">
        <v xml:space="preserve">JASA ALAM SEJAHTERA                     </v>
      </c>
      <c r="C42" s="9" t="str">
        <v>JEQ4338</v>
      </c>
      <c r="D42" s="9">
        <v>30201001218303</v>
      </c>
      <c r="E42" s="9" t="str">
        <v>SEDANG</v>
      </c>
      <c r="F42" s="9" t="str">
        <v>Tidak</v>
      </c>
      <c r="G42" s="9" t="str">
        <v>Tidak</v>
      </c>
      <c r="H42" s="9" t="str">
        <v>Tidak</v>
      </c>
      <c r="I42" s="9" t="str">
        <v>Perpajakan</v>
      </c>
      <c r="J42" s="9">
        <v>50</v>
      </c>
      <c r="K42" s="9">
        <v>1.33</v>
      </c>
      <c r="L42" s="9" t="str">
        <v>Perpajakan</v>
      </c>
      <c r="M42" s="9" t="str">
        <v xml:space="preserve">KC Cikampek                             </v>
      </c>
      <c r="N42" s="9" t="str">
        <v xml:space="preserve">KC Cikampek                             </v>
      </c>
      <c r="O42" s="9" t="str">
        <v xml:space="preserve">DKI2                                    </v>
      </c>
      <c r="P42" s="9" t="str">
        <v>Tidak</v>
      </c>
      <c r="Q42" s="9" t="str">
        <v>Tidak</v>
      </c>
      <c r="R42" s="9" t="str">
        <v>Done</v>
      </c>
      <c r="S42" s="9" t="str">
        <v>Approved</v>
      </c>
      <c r="T42" s="9" t="str">
        <v>90186796 - Devito Arya Wiradila</v>
      </c>
      <c r="U42" s="9" t="str">
        <v>"-"</v>
      </c>
      <c r="V42" s="12" t="s">
        <v>24</v>
      </c>
      <c r="W42" s="12"/>
      <c r="X42" s="14" t="b">
        <f>[3]STR!$X42</f>
        <v>1</v>
      </c>
    </row>
    <row r="43" spans="1:24">
      <c r="A43" s="8">
        <v>46265</v>
      </c>
      <c r="B43" s="9" t="str">
        <v xml:space="preserve">IMAN                                    </v>
      </c>
      <c r="C43" s="9" t="str">
        <v>IX32914</v>
      </c>
      <c r="D43" s="9">
        <v>425101025345531</v>
      </c>
      <c r="E43" s="9" t="str">
        <v>SEDANG</v>
      </c>
      <c r="F43" s="9" t="str">
        <v>Tidak</v>
      </c>
      <c r="G43" s="9" t="str">
        <v>Tidak</v>
      </c>
      <c r="H43" s="9" t="str">
        <v>Tidak</v>
      </c>
      <c r="I43" s="9" t="str">
        <v>Perikanan dan Kelautan</v>
      </c>
      <c r="J43" s="9">
        <v>50</v>
      </c>
      <c r="K43" s="9">
        <v>101</v>
      </c>
      <c r="L43" s="9" t="str">
        <v>Perikanan dan Kelautan</v>
      </c>
      <c r="M43" s="9" t="str">
        <v xml:space="preserve">UNIT JAYANEGARA KARAWANG                </v>
      </c>
      <c r="N43" s="9" t="str">
        <v xml:space="preserve">KC Karawang                             </v>
      </c>
      <c r="O43" s="9" t="str">
        <v xml:space="preserve">DKI2                                    </v>
      </c>
      <c r="P43" s="9" t="str">
        <v>Tidak</v>
      </c>
      <c r="Q43" s="9" t="str">
        <v>Tidak</v>
      </c>
      <c r="R43" s="9" t="str">
        <v>Done</v>
      </c>
      <c r="S43" s="9" t="str">
        <v>Approved</v>
      </c>
      <c r="T43" s="9" t="str">
        <v>90171841 - Rifqi Aziz</v>
      </c>
      <c r="U43" s="9" t="str">
        <v>"-"</v>
      </c>
      <c r="V43" s="12" t="s">
        <v>24</v>
      </c>
      <c r="W43" s="12"/>
      <c r="X43" s="14" t="b">
        <f>[3]STR!$X43</f>
        <v>1</v>
      </c>
    </row>
    <row r="44" spans="1:24">
      <c r="A44" s="8">
        <v>46265</v>
      </c>
      <c r="B44" s="9" t="str">
        <v xml:space="preserve">ASIA SISTEM INDONESIA                   </v>
      </c>
      <c r="C44" s="9" t="str">
        <v>AASTQ66</v>
      </c>
      <c r="D44" s="9">
        <v>19301004188308</v>
      </c>
      <c r="E44" s="9" t="str">
        <v>SEDANG</v>
      </c>
      <c r="F44" s="9" t="str">
        <v>Tidak</v>
      </c>
      <c r="G44" s="9" t="str">
        <v>Tidak</v>
      </c>
      <c r="H44" s="9" t="str">
        <v>Tidak</v>
      </c>
      <c r="I44" s="9" t="str">
        <v>Perpajakan</v>
      </c>
      <c r="J44" s="9">
        <v>50</v>
      </c>
      <c r="K44" s="9">
        <v>41</v>
      </c>
      <c r="L44" s="9" t="str">
        <v>Perpajakan</v>
      </c>
      <c r="M44" s="9" t="str">
        <v xml:space="preserve">KC Jakarta Kebayoran Baru               </v>
      </c>
      <c r="N44" s="9" t="str">
        <v xml:space="preserve">KC Jakarta Kebayoran Baru               </v>
      </c>
      <c r="O44" s="9" t="str">
        <v xml:space="preserve">DKI2                                    </v>
      </c>
      <c r="P44" s="9" t="str">
        <v>Tidak</v>
      </c>
      <c r="Q44" s="9" t="str">
        <v>Tidak</v>
      </c>
      <c r="R44" s="9" t="str">
        <v>Done</v>
      </c>
      <c r="S44" s="9" t="str">
        <v>Approved</v>
      </c>
      <c r="T44" s="9" t="str">
        <v>90185537 - Moh.Khoerul Fajar Ar</v>
      </c>
      <c r="U44" s="9" t="str">
        <v>"-"</v>
      </c>
      <c r="V44" s="12" t="s">
        <v>24</v>
      </c>
      <c r="W44" s="12"/>
      <c r="X44" s="14" t="b">
        <f>[3]STR!$X44</f>
        <v>1</v>
      </c>
    </row>
    <row r="45" spans="1:24">
      <c r="A45" s="8">
        <v>46265</v>
      </c>
      <c r="B45" s="9" t="str">
        <v xml:space="preserve">AMARTHA FINANSIAL ASIA                  </v>
      </c>
      <c r="C45" s="9" t="str">
        <v>AAMNP20</v>
      </c>
      <c r="D45" s="9">
        <v>42501001580308</v>
      </c>
      <c r="E45" s="9" t="str">
        <v>SEDANG</v>
      </c>
      <c r="F45" s="9" t="str">
        <v>Tidak</v>
      </c>
      <c r="G45" s="9" t="str">
        <v>Tidak</v>
      </c>
      <c r="H45" s="9" t="str">
        <v>Tidak</v>
      </c>
      <c r="I45" s="9" t="str">
        <v>Narkotika - Area Lapas</v>
      </c>
      <c r="J45" s="9">
        <v>50</v>
      </c>
      <c r="K45" s="9">
        <v>46</v>
      </c>
      <c r="L45" s="9" t="str">
        <v>Narkotika</v>
      </c>
      <c r="M45" s="9" t="str">
        <v>KC Ampera</v>
      </c>
      <c r="N45" s="9" t="str">
        <v>KC Ampera</v>
      </c>
      <c r="O45" s="9" t="str">
        <v>DKI2</v>
      </c>
      <c r="P45" s="9" t="str">
        <v>Tidak</v>
      </c>
      <c r="Q45" s="9" t="str">
        <v>Tidak</v>
      </c>
      <c r="R45" s="9" t="str">
        <v>Done</v>
      </c>
      <c r="S45" s="9" t="str">
        <v>Approved</v>
      </c>
      <c r="T45" s="9" t="str">
        <v>90170665 - Mutiara Ayuningtyas</v>
      </c>
      <c r="U45" s="9" t="str">
        <v>"-"</v>
      </c>
      <c r="V45" s="12" t="s">
        <v>24</v>
      </c>
      <c r="W45" s="12"/>
      <c r="X45" s="14" t="b">
        <f>[3]STR!$X45</f>
        <v>1</v>
      </c>
    </row>
    <row r="46" spans="1:24">
      <c r="A46" s="8">
        <v>46265</v>
      </c>
      <c r="B46" s="9" t="str">
        <v xml:space="preserve">ATEP NUR'ALIM                           </v>
      </c>
      <c r="C46" s="9" t="str">
        <v>ACVA263</v>
      </c>
      <c r="D46" s="9">
        <v>30201124701502</v>
      </c>
      <c r="E46" s="9" t="str">
        <v>SEDANG</v>
      </c>
      <c r="F46" s="9" t="str">
        <v>Tidak</v>
      </c>
      <c r="G46" s="9" t="str">
        <v>Tidak</v>
      </c>
      <c r="H46" s="9" t="str">
        <v>Tidak</v>
      </c>
      <c r="I46" s="9" t="str">
        <v>Narkotika/Psikotropika- Remark</v>
      </c>
      <c r="J46" s="9">
        <v>50</v>
      </c>
      <c r="K46" s="9">
        <v>9</v>
      </c>
      <c r="L46" s="9" t="str">
        <v>Narkotika/Psikotropika</v>
      </c>
      <c r="M46" s="9" t="str">
        <v xml:space="preserve">KC Cikampek                             </v>
      </c>
      <c r="N46" s="9" t="str">
        <v xml:space="preserve">KC Cikampek                             </v>
      </c>
      <c r="O46" s="9" t="str">
        <v xml:space="preserve">DKI2                                    </v>
      </c>
      <c r="P46" s="9" t="str">
        <v>Ya</v>
      </c>
      <c r="Q46" s="9" t="str">
        <v>Ya</v>
      </c>
      <c r="R46" s="9" t="str">
        <v>Done</v>
      </c>
      <c r="S46" s="9" t="str">
        <v>Approved</v>
      </c>
      <c r="T46" s="9" t="str">
        <v>00336949 - Mochammad Al Farabi</v>
      </c>
      <c r="U46" s="9" t="str">
        <v>"-"</v>
      </c>
      <c r="V46" s="12" t="s">
        <v>24</v>
      </c>
      <c r="W46" s="12"/>
      <c r="X46" s="14" t="b">
        <f>[3]STR!$X46</f>
        <v>1</v>
      </c>
    </row>
    <row r="47" spans="1:24">
      <c r="A47" s="8">
        <v>46265</v>
      </c>
      <c r="B47" s="9" t="str">
        <v xml:space="preserve">BPJS KESEHATAN                          </v>
      </c>
      <c r="C47" s="9" t="str">
        <v>AIL5612</v>
      </c>
      <c r="D47" s="9">
        <v>34101001125304</v>
      </c>
      <c r="E47" s="9" t="str">
        <v>SEDANG</v>
      </c>
      <c r="F47" s="9" t="str">
        <v>Tidak</v>
      </c>
      <c r="G47" s="9" t="str">
        <v>Tidak</v>
      </c>
      <c r="H47" s="9" t="str">
        <v>Tidak</v>
      </c>
      <c r="I47" s="9" t="str">
        <v>Narkotika - Area Lapas</v>
      </c>
      <c r="J47" s="9">
        <v>50</v>
      </c>
      <c r="K47" s="9">
        <v>46</v>
      </c>
      <c r="L47" s="9" t="str">
        <v>Narkotika</v>
      </c>
      <c r="M47" s="9" t="str">
        <v>KC Jakarta Warung Buncit</v>
      </c>
      <c r="N47" s="9" t="str">
        <v>KC Jakarta Warung Buncit</v>
      </c>
      <c r="O47" s="9" t="str">
        <v>DKI2</v>
      </c>
      <c r="P47" s="9" t="str">
        <v>Tidak</v>
      </c>
      <c r="Q47" s="9" t="str">
        <v>Tidak</v>
      </c>
      <c r="R47" s="9" t="str">
        <v>Done</v>
      </c>
      <c r="S47" s="9" t="str">
        <v>Approved</v>
      </c>
      <c r="T47" s="9" t="str">
        <v>00336949 - Mochammad Al Farabi</v>
      </c>
      <c r="U47" s="9" t="str">
        <v>"-"</v>
      </c>
      <c r="V47" s="12" t="s">
        <v>24</v>
      </c>
      <c r="W47" s="12"/>
      <c r="X47" s="14" t="b">
        <f>[3]STR!$X47</f>
        <v>1</v>
      </c>
    </row>
    <row r="48" spans="1:24">
      <c r="A48" s="8">
        <v>46265</v>
      </c>
      <c r="B48" s="9" t="str">
        <v xml:space="preserve">BINAVALASINDO DOLARASIA SEJAHTERA UTAMA </v>
      </c>
      <c r="C48" s="9" t="str">
        <v>BR89843</v>
      </c>
      <c r="D48" s="9">
        <v>13901003434304</v>
      </c>
      <c r="E48" s="9" t="str">
        <v>TINGGI</v>
      </c>
      <c r="F48" s="9" t="str">
        <v>Tidak</v>
      </c>
      <c r="G48" s="9" t="str">
        <v>Tidak</v>
      </c>
      <c r="H48" s="9" t="str">
        <v>Tidak</v>
      </c>
      <c r="I48" s="9" t="str">
        <v>Perpajakan</v>
      </c>
      <c r="J48" s="9">
        <v>63</v>
      </c>
      <c r="K48" s="9">
        <v>1.33</v>
      </c>
      <c r="L48" s="9" t="str">
        <v>Perpajakan</v>
      </c>
      <c r="M48" s="9" t="str">
        <v xml:space="preserve">KC Bekasi                               </v>
      </c>
      <c r="N48" s="9" t="str">
        <v xml:space="preserve">KC Bekasi                               </v>
      </c>
      <c r="O48" s="9" t="str">
        <v xml:space="preserve">DKI2                                    </v>
      </c>
      <c r="P48" s="9" t="str">
        <v>Tidak</v>
      </c>
      <c r="Q48" s="9" t="str">
        <v>Tidak</v>
      </c>
      <c r="R48" s="9" t="str">
        <v>Done</v>
      </c>
      <c r="S48" s="9" t="str">
        <v>Approved</v>
      </c>
      <c r="T48" s="9" t="str">
        <v>90150130 - Intan Aida Pratiwi</v>
      </c>
      <c r="U48" s="9" t="str">
        <v>"-"</v>
      </c>
      <c r="V48" s="12" t="s">
        <v>24</v>
      </c>
      <c r="W48" s="12"/>
      <c r="X48" s="14" t="b">
        <f>[3]STR!$X48</f>
        <v>1</v>
      </c>
    </row>
    <row r="49" spans="1:24">
      <c r="A49" s="8">
        <v>46265</v>
      </c>
      <c r="B49" s="9" t="str">
        <v xml:space="preserve">CAHAYA PUTIH ENERGI ALAM                </v>
      </c>
      <c r="C49" s="9" t="str">
        <v>CQ62122</v>
      </c>
      <c r="D49" s="9">
        <v>42501001651303</v>
      </c>
      <c r="E49" s="9" t="str">
        <v>TINGGI</v>
      </c>
      <c r="F49" s="9" t="str">
        <v>Tidak</v>
      </c>
      <c r="G49" s="9" t="str">
        <v>Tidak</v>
      </c>
      <c r="H49" s="9" t="str">
        <v>Tidak</v>
      </c>
      <c r="I49" s="9" t="str">
        <v>Perpajakan</v>
      </c>
      <c r="J49" s="9">
        <v>65</v>
      </c>
      <c r="K49" s="9">
        <v>41</v>
      </c>
      <c r="L49" s="9" t="str">
        <v>Perpajakan</v>
      </c>
      <c r="M49" s="9" t="str">
        <v xml:space="preserve">KC Ampera                               </v>
      </c>
      <c r="N49" s="9" t="str">
        <v xml:space="preserve">KC Ampera                               </v>
      </c>
      <c r="O49" s="9" t="str">
        <v xml:space="preserve">DKI2                                    </v>
      </c>
      <c r="P49" s="9" t="str">
        <v>Tidak</v>
      </c>
      <c r="Q49" s="9" t="str">
        <v>Tidak</v>
      </c>
      <c r="R49" s="9" t="str">
        <v>Done</v>
      </c>
      <c r="S49" s="9" t="str">
        <v>Approved</v>
      </c>
      <c r="T49" s="9" t="str">
        <v>90185537 - Moh.Khoerul Fajar Ar</v>
      </c>
      <c r="U49" s="9" t="str">
        <v>"-"</v>
      </c>
      <c r="V49" s="12" t="s">
        <v>24</v>
      </c>
      <c r="W49" s="12"/>
      <c r="X49" s="14" t="b">
        <f>[3]STR!$X49</f>
        <v>1</v>
      </c>
    </row>
    <row r="50" spans="1:24">
      <c r="A50" s="8">
        <v>46265</v>
      </c>
      <c r="B50" s="9" t="str">
        <v xml:space="preserve">YUNI CITRA LESTARI                      </v>
      </c>
      <c r="C50" s="9" t="str">
        <v>YM97644</v>
      </c>
      <c r="D50" s="9">
        <v>479601024242538</v>
      </c>
      <c r="E50" s="9" t="str">
        <v>SEDANG</v>
      </c>
      <c r="F50" s="9" t="str">
        <v>Ya</v>
      </c>
      <c r="G50" s="9" t="str">
        <v>Tidak</v>
      </c>
      <c r="H50" s="9" t="str">
        <v>Tidak</v>
      </c>
      <c r="I50" s="9" t="str">
        <v>Narkotika - Area Lapas</v>
      </c>
      <c r="J50" s="9">
        <v>50</v>
      </c>
      <c r="K50" s="9">
        <v>46</v>
      </c>
      <c r="L50" s="9" t="str">
        <v>Narkotika</v>
      </c>
      <c r="M50" s="9" t="str">
        <v>UNIT CIBUNG BULANGÂ BOGOR</v>
      </c>
      <c r="N50" s="9" t="str">
        <v>KC Bogor</v>
      </c>
      <c r="O50" s="9" t="str">
        <v>DKI2</v>
      </c>
      <c r="P50" s="9" t="str">
        <v>Tidak</v>
      </c>
      <c r="Q50" s="9" t="str">
        <v>Tidak</v>
      </c>
      <c r="R50" s="9" t="str">
        <v>Done</v>
      </c>
      <c r="S50" s="9" t="str">
        <v>Approved</v>
      </c>
      <c r="T50" s="9" t="str">
        <v>90171841 - Rifqi Aziz</v>
      </c>
      <c r="U50" s="9" t="str">
        <v>"-"</v>
      </c>
      <c r="V50" s="12" t="s">
        <v>24</v>
      </c>
      <c r="W50" s="12"/>
      <c r="X50" s="14" t="b">
        <f>[3]STR!$X50</f>
        <v>1</v>
      </c>
    </row>
    <row r="51" spans="1:24">
      <c r="A51" s="8">
        <v>46265</v>
      </c>
      <c r="B51" s="9" t="str">
        <v xml:space="preserve">TREEKREASI MARGAMULIA                   </v>
      </c>
      <c r="C51" s="9" t="str">
        <v>TNG6898</v>
      </c>
      <c r="D51" s="9">
        <v>42501001663300</v>
      </c>
      <c r="E51" s="9" t="str">
        <v>SEDANG</v>
      </c>
      <c r="F51" s="9" t="str">
        <v>Tidak</v>
      </c>
      <c r="G51" s="9" t="str">
        <v>Tidak</v>
      </c>
      <c r="H51" s="9" t="str">
        <v>Tidak</v>
      </c>
      <c r="I51" s="9" t="str">
        <v>Perpajakan</v>
      </c>
      <c r="J51" s="9">
        <v>48</v>
      </c>
      <c r="K51" s="9">
        <v>41</v>
      </c>
      <c r="L51" s="9" t="str">
        <v>Perpajakan</v>
      </c>
      <c r="M51" s="9" t="str">
        <v xml:space="preserve">KC Ampera                               </v>
      </c>
      <c r="N51" s="9" t="str">
        <v xml:space="preserve">KC Ampera                               </v>
      </c>
      <c r="O51" s="9" t="str">
        <v xml:space="preserve">DKI2                                    </v>
      </c>
      <c r="P51" s="9" t="str">
        <v>Tidak</v>
      </c>
      <c r="Q51" s="9" t="str">
        <v>Tidak</v>
      </c>
      <c r="R51" s="9" t="str">
        <v>Done</v>
      </c>
      <c r="S51" s="9" t="str">
        <v>Approved</v>
      </c>
      <c r="T51" s="9" t="str">
        <v>00394520 - Frida Akbar Rani</v>
      </c>
      <c r="U51" s="9" t="str">
        <v>"-"</v>
      </c>
      <c r="V51" s="12" t="s">
        <v>24</v>
      </c>
      <c r="W51" s="12"/>
      <c r="X51" s="14" t="b">
        <f>[3]STR!$X51</f>
        <v>1</v>
      </c>
    </row>
    <row r="52" spans="1:24">
      <c r="A52" s="8">
        <v>46265</v>
      </c>
      <c r="B52" s="9" t="str">
        <v xml:space="preserve">TANTI SETIAWATI                         </v>
      </c>
      <c r="C52" s="9" t="str">
        <v>TLO6567</v>
      </c>
      <c r="D52" s="9">
        <v>5326590001702590</v>
      </c>
      <c r="E52" s="9" t="str">
        <v>SEDANG</v>
      </c>
      <c r="F52" s="9" t="str">
        <v>Tidak</v>
      </c>
      <c r="G52" s="9" t="str">
        <v>Tidak</v>
      </c>
      <c r="H52" s="9" t="str">
        <v>Tidak</v>
      </c>
      <c r="I52" s="9" t="str">
        <v>Private or Priority Customer Investment</v>
      </c>
      <c r="J52" s="9">
        <v>58</v>
      </c>
      <c r="K52" s="9">
        <v>93</v>
      </c>
      <c r="L52" s="9" t="str">
        <v>Pasar Modal</v>
      </c>
      <c r="M52" s="9" t="str">
        <v xml:space="preserve">KC Jakarta Gatot Subroto                </v>
      </c>
      <c r="N52" s="9" t="str">
        <v xml:space="preserve">KC Jakarta Gatot Subroto                </v>
      </c>
      <c r="O52" s="9" t="str">
        <v xml:space="preserve">DKI2                                    </v>
      </c>
      <c r="P52" s="9" t="str">
        <v>Tidak</v>
      </c>
      <c r="Q52" s="9" t="str">
        <v>Tidak</v>
      </c>
      <c r="R52" s="9" t="str">
        <v>Done</v>
      </c>
      <c r="S52" s="9" t="str">
        <v>Approved</v>
      </c>
      <c r="T52" s="9" t="str">
        <v>90186790 - Muhammad Alfin Farha</v>
      </c>
      <c r="U52" s="9" t="str">
        <v>"-"</v>
      </c>
      <c r="V52" s="12" t="s">
        <v>24</v>
      </c>
      <c r="W52" s="12"/>
      <c r="X52" s="14" t="b">
        <f>[3]STR!$X52</f>
        <v>0</v>
      </c>
    </row>
    <row r="53" spans="1:24">
      <c r="A53" s="8">
        <v>46265</v>
      </c>
      <c r="B53" s="9" t="str">
        <v xml:space="preserve">SARANA INTI TRIBUANA                    </v>
      </c>
      <c r="C53" s="9" t="str">
        <v>SFVLP68</v>
      </c>
      <c r="D53" s="9">
        <v>52501000436300</v>
      </c>
      <c r="E53" s="9" t="str">
        <v>TINGGI</v>
      </c>
      <c r="F53" s="9" t="str">
        <v>Tidak</v>
      </c>
      <c r="G53" s="9" t="str">
        <v>Tidak</v>
      </c>
      <c r="H53" s="9" t="str">
        <v>Tidak</v>
      </c>
      <c r="I53" s="9" t="str">
        <v>Perpajakan</v>
      </c>
      <c r="J53" s="9">
        <v>63</v>
      </c>
      <c r="K53" s="9">
        <v>41</v>
      </c>
      <c r="L53" s="9" t="str">
        <v>Perpajakan</v>
      </c>
      <c r="M53" s="9" t="str">
        <v xml:space="preserve">KCP SOUTH QUARTER                       </v>
      </c>
      <c r="N53" s="9" t="str">
        <v xml:space="preserve">KC Jakarta Fatmawati                    </v>
      </c>
      <c r="O53" s="9" t="str">
        <v xml:space="preserve">DKI2                                    </v>
      </c>
      <c r="P53" s="9" t="str">
        <v>Tidak</v>
      </c>
      <c r="Q53" s="9" t="str">
        <v>Tidak</v>
      </c>
      <c r="R53" s="9" t="str">
        <v>Done</v>
      </c>
      <c r="S53" s="9" t="str">
        <v>Approved</v>
      </c>
      <c r="T53" s="9" t="str">
        <v>00394520 - Frida Akbar Rani</v>
      </c>
      <c r="U53" s="9" t="str">
        <v>"-"</v>
      </c>
      <c r="V53" s="12" t="s">
        <v>24</v>
      </c>
      <c r="W53" s="12"/>
      <c r="X53" s="14" t="b">
        <f>[3]STR!$X53</f>
        <v>1</v>
      </c>
    </row>
    <row r="54" spans="1:24">
      <c r="A54" s="8">
        <v>46265</v>
      </c>
      <c r="B54" s="9" t="str">
        <v xml:space="preserve">SIHAR P H SITORUS                       </v>
      </c>
      <c r="C54" s="9" t="str">
        <v>SLBD282</v>
      </c>
      <c r="D54" s="9">
        <v>44301888887563</v>
      </c>
      <c r="E54" s="9" t="str">
        <v>TINGGI</v>
      </c>
      <c r="F54" s="9" t="str">
        <v>Tidak</v>
      </c>
      <c r="G54" s="9" t="str">
        <v>Tidak</v>
      </c>
      <c r="H54" s="9" t="str">
        <v>Tidak</v>
      </c>
      <c r="I54" s="9" t="str">
        <v>Private or Priority Customer Investment</v>
      </c>
      <c r="J54" s="9">
        <v>78</v>
      </c>
      <c r="K54" s="9">
        <v>93</v>
      </c>
      <c r="L54" s="9" t="str">
        <v>Pasar Modal</v>
      </c>
      <c r="M54" s="9" t="str">
        <v xml:space="preserve">KCP TELKOM LANDMARK TOWER               </v>
      </c>
      <c r="N54" s="9" t="str">
        <v xml:space="preserve">KC Jakarta Gatot Subroto                </v>
      </c>
      <c r="O54" s="9" t="str">
        <v xml:space="preserve">DKI2                                    </v>
      </c>
      <c r="P54" s="9" t="str">
        <v>Tidak</v>
      </c>
      <c r="Q54" s="9" t="str">
        <v>Tidak</v>
      </c>
      <c r="R54" s="9" t="str">
        <v>Done</v>
      </c>
      <c r="S54" s="9" t="str">
        <v>Approved</v>
      </c>
      <c r="T54" s="9" t="str">
        <v>90171841 - Rifqi Aziz</v>
      </c>
      <c r="U54" s="9" t="str">
        <v>"-"</v>
      </c>
      <c r="V54" s="12" t="s">
        <v>24</v>
      </c>
      <c r="W54" s="12"/>
      <c r="X54" s="14" t="b">
        <f>[3]STR!$X54</f>
        <v>0</v>
      </c>
    </row>
    <row r="55" spans="1:24">
      <c r="A55" s="8">
        <v>46265</v>
      </c>
      <c r="B55" s="9" t="str">
        <v xml:space="preserve">PT. PUPUK KUJANG                        </v>
      </c>
      <c r="C55" s="9" t="str">
        <v>P030226</v>
      </c>
      <c r="D55" s="9">
        <v>30201000055304</v>
      </c>
      <c r="E55" s="9" t="str">
        <v>SEDANG</v>
      </c>
      <c r="F55" s="9" t="str">
        <v>Tidak</v>
      </c>
      <c r="G55" s="9" t="str">
        <v>Tidak</v>
      </c>
      <c r="H55" s="9" t="str">
        <v>Tidak</v>
      </c>
      <c r="I55" s="9" t="str">
        <v>Green Financial Crime (GFC)</v>
      </c>
      <c r="J55" s="9">
        <v>50</v>
      </c>
      <c r="K55" s="9">
        <v>45</v>
      </c>
      <c r="L55" s="9" t="str">
        <v>Green Financial Crime</v>
      </c>
      <c r="M55" s="9" t="str">
        <v xml:space="preserve">KC Cikampek                             </v>
      </c>
      <c r="N55" s="9" t="str">
        <v xml:space="preserve">KC Cikampek                             </v>
      </c>
      <c r="O55" s="9" t="str">
        <v xml:space="preserve">DKI2                                    </v>
      </c>
      <c r="P55" s="9" t="str">
        <v>Tidak</v>
      </c>
      <c r="Q55" s="9" t="str">
        <v>Tidak</v>
      </c>
      <c r="R55" s="9" t="str">
        <v>Done</v>
      </c>
      <c r="S55" s="9" t="str">
        <v>Approved</v>
      </c>
      <c r="T55" s="9" t="str">
        <v>90150130 - Intan Aida Pratiwi</v>
      </c>
      <c r="U55" s="9" t="str">
        <v>PEP :IDA ROCHANNA</v>
      </c>
      <c r="V55" s="12" t="s">
        <v>24</v>
      </c>
      <c r="W55" s="12"/>
      <c r="X55" s="14" t="b">
        <f>[3]STR!$X55</f>
        <v>1</v>
      </c>
    </row>
    <row r="56" spans="1:24">
      <c r="A56" s="8">
        <v>46265</v>
      </c>
      <c r="B56" s="9" t="str">
        <v xml:space="preserve">PERMODALAN NASIONAL MADANI              </v>
      </c>
      <c r="C56" s="9" t="str">
        <v>PA08878</v>
      </c>
      <c r="D56" s="9">
        <v>37601001262309</v>
      </c>
      <c r="E56" s="9" t="str">
        <v>TINGGI</v>
      </c>
      <c r="F56" s="9" t="str">
        <v>Tidak</v>
      </c>
      <c r="G56" s="9" t="str">
        <v>Tidak</v>
      </c>
      <c r="H56" s="9" t="str">
        <v>Tidak</v>
      </c>
      <c r="I56" s="9" t="str">
        <v>Narkotika - Area Lapas</v>
      </c>
      <c r="J56" s="9">
        <v>65</v>
      </c>
      <c r="K56" s="9">
        <v>46</v>
      </c>
      <c r="L56" s="9" t="str">
        <v>Narkotika</v>
      </c>
      <c r="M56" s="9" t="str">
        <v>KC Jakarta Sudirman 1</v>
      </c>
      <c r="N56" s="9" t="str">
        <v>KC Jakarta Sudirman 1</v>
      </c>
      <c r="O56" s="9" t="str">
        <v>DKI2</v>
      </c>
      <c r="P56" s="9" t="str">
        <v>Tidak</v>
      </c>
      <c r="Q56" s="9" t="str">
        <v>Tidak</v>
      </c>
      <c r="R56" s="9" t="str">
        <v>Done</v>
      </c>
      <c r="S56" s="9" t="str">
        <v>Approved</v>
      </c>
      <c r="T56" s="9" t="str">
        <v>90150130 - Intan Aida Pratiwi</v>
      </c>
      <c r="U56" s="9" t="str">
        <v>"-"</v>
      </c>
      <c r="V56" s="12" t="s">
        <v>24</v>
      </c>
      <c r="W56" s="12"/>
      <c r="X56" s="14" t="b">
        <f>[3]STR!$X56</f>
        <v>1</v>
      </c>
    </row>
    <row r="57" spans="1:24">
      <c r="A57" s="8">
        <v>46265</v>
      </c>
      <c r="B57" s="9" t="str">
        <v xml:space="preserve">ROSITHA YULYANTHI                       </v>
      </c>
      <c r="C57" s="9" t="str">
        <v>RMX3005</v>
      </c>
      <c r="D57" s="9">
        <v>0</v>
      </c>
      <c r="E57" s="9" t="str">
        <v>TINGGI</v>
      </c>
      <c r="F57" s="9" t="str">
        <v>Tidak</v>
      </c>
      <c r="G57" s="9" t="str">
        <v>Tidak</v>
      </c>
      <c r="H57" s="9" t="str">
        <v>Tidak</v>
      </c>
      <c r="I57" s="9" t="str">
        <v>Private or Priority Customer Investment</v>
      </c>
      <c r="J57" s="9">
        <v>78</v>
      </c>
      <c r="K57" s="9">
        <v>93</v>
      </c>
      <c r="L57" s="9" t="str">
        <v>Pasar Modal</v>
      </c>
      <c r="M57" s="9" t="str">
        <v xml:space="preserve">KC Bogor Pajajaran                      </v>
      </c>
      <c r="N57" s="9" t="str">
        <v xml:space="preserve">KC Bogor Pajajaran                      </v>
      </c>
      <c r="O57" s="9" t="str">
        <v xml:space="preserve">DKI2                                    </v>
      </c>
      <c r="P57" s="9" t="str">
        <v>Tidak</v>
      </c>
      <c r="Q57" s="9" t="str">
        <v>Tidak</v>
      </c>
      <c r="R57" s="9" t="str">
        <v>Done</v>
      </c>
      <c r="S57" s="9" t="str">
        <v>Approved</v>
      </c>
      <c r="T57" s="9" t="str">
        <v>90186796 - Devito Arya Wiradila</v>
      </c>
      <c r="U57" s="9" t="str">
        <v>"-"</v>
      </c>
      <c r="V57" s="12" t="s">
        <v>24</v>
      </c>
      <c r="W57" s="12"/>
      <c r="X57" s="14" t="b">
        <f>[3]STR!$X57</f>
        <v>0</v>
      </c>
    </row>
    <row r="58" spans="1:24">
      <c r="A58" s="8">
        <v>46265</v>
      </c>
      <c r="B58" s="9" t="str">
        <v xml:space="preserve">RECAPITECH                              </v>
      </c>
      <c r="C58" s="9" t="str">
        <v>RMCI763</v>
      </c>
      <c r="D58" s="9">
        <v>324802000001504</v>
      </c>
      <c r="E58" s="9" t="str">
        <v>SEDANG</v>
      </c>
      <c r="F58" s="9" t="str">
        <v>Tidak</v>
      </c>
      <c r="G58" s="9" t="str">
        <v>Tidak</v>
      </c>
      <c r="H58" s="9" t="str">
        <v>Tidak</v>
      </c>
      <c r="I58" s="9" t="str">
        <v>Perpajakan</v>
      </c>
      <c r="J58" s="9">
        <v>48</v>
      </c>
      <c r="K58" s="9">
        <v>41</v>
      </c>
      <c r="L58" s="9" t="str">
        <v>Perpajakan</v>
      </c>
      <c r="M58" s="9" t="str">
        <v xml:space="preserve">UNIT BUKIT DURI                         </v>
      </c>
      <c r="N58" s="9" t="str">
        <v xml:space="preserve">KC Jakarta Pancoran                     </v>
      </c>
      <c r="O58" s="9" t="str">
        <v xml:space="preserve">DKI2                                    </v>
      </c>
      <c r="P58" s="9" t="str">
        <v>Tidak</v>
      </c>
      <c r="Q58" s="9" t="str">
        <v>Ya</v>
      </c>
      <c r="R58" s="9" t="str">
        <v>Done</v>
      </c>
      <c r="S58" s="9" t="str">
        <v>Approved</v>
      </c>
      <c r="T58" s="9" t="str">
        <v>00336949 - Mochammad Al Farabi</v>
      </c>
      <c r="U58" s="9" t="str">
        <v>"-"</v>
      </c>
      <c r="V58" s="12" t="s">
        <v>24</v>
      </c>
      <c r="W58" s="12"/>
      <c r="X58" s="14" t="b">
        <f>[3]STR!$X58</f>
        <v>1</v>
      </c>
    </row>
    <row r="59" spans="1:24">
      <c r="A59" s="8">
        <v>46265</v>
      </c>
      <c r="B59" s="9" t="str">
        <v xml:space="preserve">PT SAYAP MAS UTAMA                      </v>
      </c>
      <c r="C59" s="9" t="str">
        <v>PV42901</v>
      </c>
      <c r="D59" s="9">
        <v>118001000162302</v>
      </c>
      <c r="E59" s="9" t="str">
        <v>SEDANG</v>
      </c>
      <c r="F59" s="9" t="str">
        <v>Tidak</v>
      </c>
      <c r="G59" s="9" t="str">
        <v>Tidak</v>
      </c>
      <c r="H59" s="9" t="str">
        <v>Tidak</v>
      </c>
      <c r="I59" s="9" t="str">
        <v>Perpajakan</v>
      </c>
      <c r="J59" s="9">
        <v>50</v>
      </c>
      <c r="K59" s="9">
        <v>1.33</v>
      </c>
      <c r="L59" s="9" t="str">
        <v>Perpajakan</v>
      </c>
      <c r="M59" s="9" t="str">
        <v xml:space="preserve">KCP BARANANGSIANG                       </v>
      </c>
      <c r="N59" s="9" t="str">
        <v xml:space="preserve">KC Bogor Pajajaran                      </v>
      </c>
      <c r="O59" s="9" t="str">
        <v xml:space="preserve">DKI2                                    </v>
      </c>
      <c r="P59" s="9" t="str">
        <v>Tidak</v>
      </c>
      <c r="Q59" s="9" t="str">
        <v>Tidak</v>
      </c>
      <c r="R59" s="9" t="str">
        <v>Done</v>
      </c>
      <c r="S59" s="9" t="str">
        <v>Approved</v>
      </c>
      <c r="T59" s="9" t="str">
        <v>90186790 - Muhammad Alfin Farha</v>
      </c>
      <c r="U59" s="9" t="str">
        <v>"-"</v>
      </c>
      <c r="V59" s="12" t="s">
        <v>24</v>
      </c>
      <c r="W59" s="12"/>
      <c r="X59" s="14" t="b">
        <f>[3]STR!$X59</f>
        <v>1</v>
      </c>
    </row>
    <row r="60" spans="1:24">
      <c r="A60" s="8">
        <v>46265</v>
      </c>
      <c r="B60" s="9" t="str">
        <v xml:space="preserve">PT BAGIA SINAR DJAYA CORP               </v>
      </c>
      <c r="C60" s="9" t="str">
        <v>POQ4817</v>
      </c>
      <c r="D60" s="9">
        <v>38701002226303</v>
      </c>
      <c r="E60" s="9">
        <v>0</v>
      </c>
      <c r="F60" s="9" t="str">
        <v>Tidak</v>
      </c>
      <c r="G60" s="9" t="str">
        <v>Tidak</v>
      </c>
      <c r="H60" s="9" t="str">
        <v>Tidak</v>
      </c>
      <c r="I60" s="9" t="str">
        <v>Business Email Compromise (BEC)</v>
      </c>
      <c r="J60" s="9">
        <v>30</v>
      </c>
      <c r="K60" s="9">
        <v>13</v>
      </c>
      <c r="L60" s="9" t="str">
        <v>Penipuan</v>
      </c>
      <c r="M60" s="9" t="str">
        <v xml:space="preserve">KC Bogor Pajajaran                      </v>
      </c>
      <c r="N60" s="9" t="str">
        <v xml:space="preserve">KC Bogor Pajajaran                      </v>
      </c>
      <c r="O60" s="9" t="str">
        <v xml:space="preserve">DKI2                                    </v>
      </c>
      <c r="P60" s="9" t="str">
        <v>Tidak</v>
      </c>
      <c r="Q60" s="9" t="str">
        <v>Tidak</v>
      </c>
      <c r="R60" s="9" t="str">
        <v>Done</v>
      </c>
      <c r="S60" s="9" t="str">
        <v>Approved</v>
      </c>
      <c r="T60" s="9" t="str">
        <v>00394520 - Frida Akbar Rani</v>
      </c>
      <c r="U60" s="9" t="str">
        <v>"-"</v>
      </c>
      <c r="V60" s="12" t="s">
        <v>24</v>
      </c>
      <c r="W60" s="12"/>
      <c r="X60" s="14" t="b">
        <f>[3]STR!$X60</f>
        <v>1</v>
      </c>
    </row>
    <row r="61" spans="1:24">
      <c r="A61" s="8">
        <v>46265</v>
      </c>
      <c r="B61" s="9" t="str">
        <v xml:space="preserve">MALINDO FEEDMILL TBK PT                 </v>
      </c>
      <c r="C61" s="9" t="str">
        <v>MFLP913</v>
      </c>
      <c r="D61" s="9">
        <v>33001001804309</v>
      </c>
      <c r="E61" s="9" t="str">
        <v>SEDANG</v>
      </c>
      <c r="F61" s="9" t="str">
        <v>Tidak</v>
      </c>
      <c r="G61" s="9" t="str">
        <v>Tidak</v>
      </c>
      <c r="H61" s="9" t="str">
        <v>Tidak</v>
      </c>
      <c r="I61" s="9" t="str">
        <v>Perpajakan</v>
      </c>
      <c r="J61" s="9">
        <v>50</v>
      </c>
      <c r="K61" s="9">
        <v>1.33</v>
      </c>
      <c r="L61" s="9" t="str">
        <v>Perpajakan</v>
      </c>
      <c r="M61" s="9" t="str">
        <v xml:space="preserve">KC Jakarta Fatmawati                    </v>
      </c>
      <c r="N61" s="9" t="str">
        <v xml:space="preserve">KC Jakarta Fatmawati                    </v>
      </c>
      <c r="O61" s="9" t="str">
        <v xml:space="preserve">DKI2                                    </v>
      </c>
      <c r="P61" s="9" t="str">
        <v>Tidak</v>
      </c>
      <c r="Q61" s="9" t="str">
        <v>Tidak</v>
      </c>
      <c r="R61" s="9" t="str">
        <v>Done</v>
      </c>
      <c r="S61" s="9" t="str">
        <v>Approved</v>
      </c>
      <c r="T61" s="9" t="str">
        <v>90150130 - Intan Aida Pratiwi</v>
      </c>
      <c r="U61" s="9" t="str">
        <v>"-"</v>
      </c>
      <c r="V61" s="12" t="s">
        <v>24</v>
      </c>
      <c r="W61" s="12"/>
      <c r="X61" s="14" t="b">
        <f>[3]STR!$X61</f>
        <v>1</v>
      </c>
    </row>
    <row r="62" spans="1:24">
      <c r="A62" s="8">
        <v>46265</v>
      </c>
      <c r="B62" s="9" t="str">
        <v xml:space="preserve">MULTIJAYA SPARINDO                      </v>
      </c>
      <c r="C62" s="9" t="str">
        <v>MDA8558</v>
      </c>
      <c r="D62" s="9">
        <v>35901001540305</v>
      </c>
      <c r="E62" s="9" t="str">
        <v>TINGGI</v>
      </c>
      <c r="F62" s="9" t="str">
        <v>Tidak</v>
      </c>
      <c r="G62" s="9" t="str">
        <v>Tidak</v>
      </c>
      <c r="H62" s="9" t="str">
        <v>Tidak</v>
      </c>
      <c r="I62" s="9" t="str">
        <v>Perpajakan</v>
      </c>
      <c r="J62" s="9">
        <v>63</v>
      </c>
      <c r="K62" s="9">
        <v>41</v>
      </c>
      <c r="L62" s="9" t="str">
        <v>Perpajakan</v>
      </c>
      <c r="M62" s="9" t="str">
        <v xml:space="preserve">KC Jakarta Gatot Subroto                </v>
      </c>
      <c r="N62" s="9" t="str">
        <v xml:space="preserve">KC Jakarta Gatot Subroto                </v>
      </c>
      <c r="O62" s="9" t="str">
        <v xml:space="preserve">DKI2                                    </v>
      </c>
      <c r="P62" s="9" t="str">
        <v>Tidak</v>
      </c>
      <c r="Q62" s="9" t="str">
        <v>Ya</v>
      </c>
      <c r="R62" s="9" t="str">
        <v>Done</v>
      </c>
      <c r="S62" s="9" t="str">
        <v>Approved</v>
      </c>
      <c r="T62" s="9" t="str">
        <v>90185538 - Muhammad Fahikal Auz</v>
      </c>
      <c r="U62" s="9" t="str">
        <v>"-"</v>
      </c>
      <c r="V62" s="12" t="s">
        <v>24</v>
      </c>
      <c r="W62" s="12"/>
      <c r="X62" s="14" t="b">
        <f>[3]STR!$X62</f>
        <v>1</v>
      </c>
    </row>
    <row r="63" spans="1:24">
      <c r="A63" s="8">
        <v>46265</v>
      </c>
      <c r="B63" s="9" t="str">
        <v xml:space="preserve">MITRA PRATAMA SUBUR JAYA                </v>
      </c>
      <c r="C63" s="9" t="str">
        <v>MDYK513</v>
      </c>
      <c r="D63" s="9">
        <v>118901000176307</v>
      </c>
      <c r="E63" s="9" t="str">
        <v>SEDANG</v>
      </c>
      <c r="F63" s="9" t="str">
        <v>Tidak</v>
      </c>
      <c r="G63" s="9" t="str">
        <v>Tidak</v>
      </c>
      <c r="H63" s="9" t="str">
        <v>Tidak</v>
      </c>
      <c r="I63" s="9" t="str">
        <v>Perpajakan</v>
      </c>
      <c r="J63" s="9">
        <v>50</v>
      </c>
      <c r="K63" s="9">
        <v>1.33</v>
      </c>
      <c r="L63" s="9" t="str">
        <v>Perpajakan</v>
      </c>
      <c r="M63" s="9" t="str">
        <v xml:space="preserve">KCP SUDIRMAN BOGOR                      </v>
      </c>
      <c r="N63" s="9" t="str">
        <v xml:space="preserve">KC Bogor                                </v>
      </c>
      <c r="O63" s="9" t="str">
        <v xml:space="preserve">DKI2                                    </v>
      </c>
      <c r="P63" s="9" t="str">
        <v>Tidak</v>
      </c>
      <c r="Q63" s="9" t="str">
        <v>Tidak</v>
      </c>
      <c r="R63" s="9" t="str">
        <v>Done</v>
      </c>
      <c r="S63" s="9" t="str">
        <v>Approved</v>
      </c>
      <c r="T63" s="9" t="str">
        <v>90150130 - Intan Aida Pratiwi</v>
      </c>
      <c r="U63" s="9" t="str">
        <v>"-"</v>
      </c>
      <c r="V63" s="12" t="s">
        <v>24</v>
      </c>
      <c r="W63" s="12"/>
      <c r="X63" s="14" t="b">
        <f>[3]STR!$X63</f>
        <v>1</v>
      </c>
    </row>
  </sheetData>
  <protectedRanges>
    <protectedRange sqref="V1:X63" name="Range2"/>
  </protectedRanges>
  <dataValidations count="1">
    <dataValidation type="list" allowBlank="1" showInputMessage="1" showErrorMessage="1" sqref="V2:V63" xr:uid="{9798AFD2-BD73-4686-96EE-24BB98510038}">
      <formula1>"Imelda Mayestika P."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spans="1:9">
      <c r="A2" s="3">
        <v>1</v>
      </c>
      <c r="B2" s="1" t="s">
        <v>35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36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37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38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39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40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41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42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43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44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45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46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47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48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49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50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51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52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53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54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55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56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57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58</v>
      </c>
      <c r="C25" s="3"/>
      <c r="D25" s="3"/>
      <c r="E25" s="3"/>
      <c r="F25" s="3"/>
      <c r="G25" s="3"/>
      <c r="H25" s="3"/>
      <c r="I25" s="3"/>
    </row>
    <row r="27" spans="1:9">
      <c r="B27" s="5" t="s">
        <v>59</v>
      </c>
    </row>
    <row r="28" spans="1:9">
      <c r="B28" s="5" t="s">
        <v>60</v>
      </c>
    </row>
    <row r="29" spans="1:9">
      <c r="B29" s="6" t="s">
        <v>61</v>
      </c>
    </row>
    <row r="31" spans="1:9">
      <c r="B31" t="s">
        <v>62</v>
      </c>
    </row>
    <row r="32" spans="1:9">
      <c r="B32" t="s">
        <v>63</v>
      </c>
    </row>
    <row r="33" spans="2:2">
      <c r="B33" t="s">
        <v>64</v>
      </c>
    </row>
    <row r="34" spans="2:2">
      <c r="B34" t="s">
        <v>65</v>
      </c>
    </row>
    <row r="35" spans="2:2">
      <c r="B35" t="s">
        <v>66</v>
      </c>
    </row>
    <row r="36" spans="2:2">
      <c r="B3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34"/>
  <sheetViews>
    <sheetView workbookViewId="0">
      <selection activeCell="B3" sqref="B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2.42578125" bestFit="1" customWidth="1"/>
    <col min="5" max="5" width="7.5703125" bestFit="1" customWidth="1"/>
  </cols>
  <sheetData>
    <row r="1" spans="1:5">
      <c r="D1" s="42">
        <v>46280</v>
      </c>
      <c r="E1" s="43"/>
    </row>
    <row r="2" spans="1:5">
      <c r="A2" s="4" t="s">
        <v>26</v>
      </c>
      <c r="B2" s="4" t="s">
        <v>27</v>
      </c>
      <c r="C2" s="4" t="s">
        <v>28</v>
      </c>
      <c r="D2" s="27" t="s">
        <v>68</v>
      </c>
      <c r="E2" s="23" t="s">
        <v>69</v>
      </c>
    </row>
    <row r="3" spans="1:5">
      <c r="A3" s="3">
        <v>1</v>
      </c>
      <c r="B3" s="1" t="s">
        <v>70</v>
      </c>
      <c r="C3" s="25" t="s">
        <v>24</v>
      </c>
      <c r="D3" s="29">
        <f>_xlfn.XLOOKUP(B3, [1]PEP!$B:$B,[1]PEP!$G:$G)</f>
        <v>1</v>
      </c>
      <c r="E3" s="44">
        <f>AVERAGE(D3:D34)</f>
        <v>0.96460274324339823</v>
      </c>
    </row>
    <row r="4" spans="1:5">
      <c r="A4" s="3">
        <v>2</v>
      </c>
      <c r="B4" s="1" t="s">
        <v>71</v>
      </c>
      <c r="C4" s="25" t="s">
        <v>24</v>
      </c>
      <c r="D4" s="29">
        <f>_xlfn.XLOOKUP(B4, [1]PEP!$B:$B,[1]PEP!$G:$G)</f>
        <v>0.95757575757575697</v>
      </c>
      <c r="E4" s="45"/>
    </row>
    <row r="5" spans="1:5">
      <c r="A5" s="3">
        <v>3</v>
      </c>
      <c r="B5" s="1" t="s">
        <v>72</v>
      </c>
      <c r="C5" s="25" t="s">
        <v>24</v>
      </c>
      <c r="D5" s="29">
        <f>_xlfn.XLOOKUP(B5, [1]PEP!$B:$B,[1]PEP!$G:$G)</f>
        <v>1</v>
      </c>
      <c r="E5" s="45"/>
    </row>
    <row r="6" spans="1:5">
      <c r="A6" s="3">
        <v>4</v>
      </c>
      <c r="B6" s="1" t="s">
        <v>73</v>
      </c>
      <c r="C6" s="25" t="s">
        <v>24</v>
      </c>
      <c r="D6" s="29">
        <f>_xlfn.XLOOKUP(B6, [1]PEP!$B:$B,[1]PEP!$G:$G)</f>
        <v>0.89940828402366901</v>
      </c>
      <c r="E6" s="45"/>
    </row>
    <row r="7" spans="1:5">
      <c r="A7" s="3">
        <v>5</v>
      </c>
      <c r="B7" s="1" t="s">
        <v>74</v>
      </c>
      <c r="C7" s="25" t="s">
        <v>24</v>
      </c>
      <c r="D7" s="29">
        <f>_xlfn.XLOOKUP(B7, [1]PEP!$B:$B,[1]PEP!$G:$G)</f>
        <v>0.97826086956521696</v>
      </c>
      <c r="E7" s="45"/>
    </row>
    <row r="8" spans="1:5">
      <c r="A8" s="3">
        <v>6</v>
      </c>
      <c r="B8" s="1" t="s">
        <v>75</v>
      </c>
      <c r="C8" s="25" t="s">
        <v>24</v>
      </c>
      <c r="D8" s="29">
        <f>_xlfn.XLOOKUP(B8, [1]PEP!$B:$B,[1]PEP!$G:$G)</f>
        <v>0.98666666666666702</v>
      </c>
      <c r="E8" s="45"/>
    </row>
    <row r="9" spans="1:5">
      <c r="A9" s="3">
        <v>7</v>
      </c>
      <c r="B9" s="1" t="s">
        <v>76</v>
      </c>
      <c r="C9" s="25" t="s">
        <v>24</v>
      </c>
      <c r="D9" s="29">
        <f>_xlfn.XLOOKUP(B9, [1]PEP!$B:$B,[1]PEP!$G:$G)</f>
        <v>0.939393939393939</v>
      </c>
      <c r="E9" s="45"/>
    </row>
    <row r="10" spans="1:5">
      <c r="A10" s="3">
        <v>8</v>
      </c>
      <c r="B10" s="1" t="s">
        <v>77</v>
      </c>
      <c r="C10" s="25" t="s">
        <v>24</v>
      </c>
      <c r="D10" s="29">
        <f>_xlfn.XLOOKUP(B10, [1]PEP!$B:$B,[1]PEP!$G:$G)</f>
        <v>0.98360655737704905</v>
      </c>
      <c r="E10" s="45"/>
    </row>
    <row r="11" spans="1:5">
      <c r="A11" s="3">
        <v>9</v>
      </c>
      <c r="B11" s="1" t="s">
        <v>78</v>
      </c>
      <c r="C11" s="25" t="s">
        <v>24</v>
      </c>
      <c r="D11" s="29">
        <f>_xlfn.XLOOKUP(B11, [1]PEP!$B:$B,[1]PEP!$G:$G)</f>
        <v>1</v>
      </c>
      <c r="E11" s="45"/>
    </row>
    <row r="12" spans="1:5">
      <c r="A12" s="3">
        <v>10</v>
      </c>
      <c r="B12" s="1" t="s">
        <v>79</v>
      </c>
      <c r="C12" s="25" t="s">
        <v>24</v>
      </c>
      <c r="D12" s="29">
        <f>_xlfn.XLOOKUP(B12, [1]PEP!$B:$B,[1]PEP!$G:$G)</f>
        <v>0.967741935483871</v>
      </c>
      <c r="E12" s="45"/>
    </row>
    <row r="13" spans="1:5">
      <c r="A13" s="3">
        <v>11</v>
      </c>
      <c r="B13" s="1" t="s">
        <v>80</v>
      </c>
      <c r="C13" s="25" t="s">
        <v>24</v>
      </c>
      <c r="D13" s="29">
        <f>_xlfn.XLOOKUP(B13, [1]PEP!$B:$B,[1]PEP!$G:$G)</f>
        <v>0.95555555555555605</v>
      </c>
      <c r="E13" s="45"/>
    </row>
    <row r="14" spans="1:5">
      <c r="A14" s="3">
        <v>12</v>
      </c>
      <c r="B14" s="1" t="s">
        <v>81</v>
      </c>
      <c r="C14" s="25" t="s">
        <v>24</v>
      </c>
      <c r="D14" s="29">
        <f>_xlfn.XLOOKUP(B14, [1]PEP!$B:$B,[1]PEP!$G:$G)</f>
        <v>0.96638655462184897</v>
      </c>
      <c r="E14" s="45"/>
    </row>
    <row r="15" spans="1:5">
      <c r="A15" s="3">
        <v>13</v>
      </c>
      <c r="B15" s="1" t="s">
        <v>82</v>
      </c>
      <c r="C15" s="25" t="s">
        <v>24</v>
      </c>
      <c r="D15" s="29">
        <f>_xlfn.XLOOKUP(B15, [1]PEP!$B:$B,[1]PEP!$G:$G)</f>
        <v>0.95652173913043503</v>
      </c>
      <c r="E15" s="45"/>
    </row>
    <row r="16" spans="1:5">
      <c r="A16" s="3">
        <v>14</v>
      </c>
      <c r="B16" s="1" t="s">
        <v>83</v>
      </c>
      <c r="C16" s="25" t="s">
        <v>24</v>
      </c>
      <c r="D16" s="29">
        <f>_xlfn.XLOOKUP(B16, [1]PEP!$B:$B,[1]PEP!$G:$G)</f>
        <v>0.94339622641509402</v>
      </c>
      <c r="E16" s="45"/>
    </row>
    <row r="17" spans="1:5">
      <c r="A17" s="3">
        <v>15</v>
      </c>
      <c r="B17" s="2" t="s">
        <v>84</v>
      </c>
      <c r="C17" s="25" t="s">
        <v>24</v>
      </c>
      <c r="D17" s="29">
        <f>_xlfn.XLOOKUP(B17, [1]PEP!$B:$B,[1]PEP!$G:$G)</f>
        <v>0.96551724137931005</v>
      </c>
      <c r="E17" s="45"/>
    </row>
    <row r="18" spans="1:5">
      <c r="A18" s="3">
        <v>16</v>
      </c>
      <c r="B18" s="1" t="s">
        <v>85</v>
      </c>
      <c r="C18" s="25" t="s">
        <v>24</v>
      </c>
      <c r="D18" s="29">
        <f>_xlfn.XLOOKUP(B18, [1]PEP!$B:$B,[1]PEP!$G:$G)</f>
        <v>0.97674418604651203</v>
      </c>
      <c r="E18" s="45"/>
    </row>
    <row r="19" spans="1:5">
      <c r="A19" s="3">
        <v>17</v>
      </c>
      <c r="B19" s="1" t="s">
        <v>86</v>
      </c>
      <c r="C19" s="25" t="s">
        <v>24</v>
      </c>
      <c r="D19" s="29">
        <f>_xlfn.XLOOKUP(B19, [1]PEP!$B:$B,[1]PEP!$G:$G)</f>
        <v>0.81481481481481499</v>
      </c>
      <c r="E19" s="45"/>
    </row>
    <row r="20" spans="1:5">
      <c r="A20" s="3">
        <v>18</v>
      </c>
      <c r="B20" s="1" t="s">
        <v>87</v>
      </c>
      <c r="C20" s="25" t="s">
        <v>24</v>
      </c>
      <c r="D20" s="29">
        <f>_xlfn.XLOOKUP(B20, [1]PEP!$B:$B,[1]PEP!$G:$G)</f>
        <v>0.96969696969696995</v>
      </c>
      <c r="E20" s="45"/>
    </row>
    <row r="21" spans="1:5">
      <c r="A21" s="3">
        <v>19</v>
      </c>
      <c r="B21" s="1" t="s">
        <v>88</v>
      </c>
      <c r="C21" s="25" t="s">
        <v>24</v>
      </c>
      <c r="D21" s="29">
        <f>_xlfn.XLOOKUP(B21, [1]PEP!$B:$B,[1]PEP!$G:$G)</f>
        <v>1</v>
      </c>
      <c r="E21" s="45"/>
    </row>
    <row r="22" spans="1:5">
      <c r="A22" s="3">
        <v>20</v>
      </c>
      <c r="B22" s="1" t="s">
        <v>89</v>
      </c>
      <c r="C22" s="25" t="s">
        <v>24</v>
      </c>
      <c r="D22" s="29">
        <f>_xlfn.XLOOKUP(B22, [1]PEP!$B:$B,[1]PEP!$G:$G)</f>
        <v>1</v>
      </c>
      <c r="E22" s="45"/>
    </row>
    <row r="23" spans="1:5">
      <c r="A23" s="16">
        <v>21</v>
      </c>
      <c r="B23" s="17" t="s">
        <v>90</v>
      </c>
      <c r="C23" s="25" t="s">
        <v>24</v>
      </c>
      <c r="D23" s="29">
        <f>_xlfn.XLOOKUP(B23, [1]PEP!$B:$B,[1]PEP!$G:$G)</f>
        <v>0.87096774193548399</v>
      </c>
      <c r="E23" s="45"/>
    </row>
    <row r="24" spans="1:5">
      <c r="A24" s="9">
        <v>22</v>
      </c>
      <c r="B24" s="15" t="s">
        <v>91</v>
      </c>
      <c r="C24" s="25" t="s">
        <v>24</v>
      </c>
      <c r="D24" s="29">
        <f>_xlfn.XLOOKUP(B24, [1]PEP!$B:$B,[1]PEP!$G:$G)</f>
        <v>0.97435897435897401</v>
      </c>
      <c r="E24" s="45"/>
    </row>
    <row r="25" spans="1:5">
      <c r="A25" s="9">
        <v>23</v>
      </c>
      <c r="B25" s="15" t="s">
        <v>92</v>
      </c>
      <c r="C25" s="25" t="s">
        <v>24</v>
      </c>
      <c r="D25" s="29">
        <f>_xlfn.XLOOKUP(B25, [1]PEP!$B:$B,[1]PEP!$G:$G)</f>
        <v>0.96428571428571397</v>
      </c>
      <c r="E25" s="45"/>
    </row>
    <row r="26" spans="1:5">
      <c r="A26" s="9">
        <v>24</v>
      </c>
      <c r="B26" s="15" t="s">
        <v>93</v>
      </c>
      <c r="C26" s="25" t="s">
        <v>24</v>
      </c>
      <c r="D26" s="29">
        <f>_xlfn.XLOOKUP(B26, [1]PEP!$B:$B,[1]PEP!$G:$G)</f>
        <v>1</v>
      </c>
      <c r="E26" s="45"/>
    </row>
    <row r="27" spans="1:5">
      <c r="A27" s="9">
        <v>25</v>
      </c>
      <c r="B27" s="9" t="s">
        <v>94</v>
      </c>
      <c r="C27" s="25" t="s">
        <v>24</v>
      </c>
      <c r="D27" s="29">
        <f>_xlfn.XLOOKUP(B27, [1]PEP!$B:$B,[1]PEP!$G:$G)</f>
        <v>1</v>
      </c>
      <c r="E27" s="45"/>
    </row>
    <row r="28" spans="1:5">
      <c r="A28" s="9">
        <v>26</v>
      </c>
      <c r="B28" s="9" t="s">
        <v>95</v>
      </c>
      <c r="C28" s="25" t="s">
        <v>24</v>
      </c>
      <c r="D28" s="29">
        <f>_xlfn.XLOOKUP(B28, [1]PEP!$B:$B,[1]PEP!$G:$G)</f>
        <v>1</v>
      </c>
      <c r="E28" s="45"/>
    </row>
    <row r="29" spans="1:5">
      <c r="A29" s="9">
        <v>27</v>
      </c>
      <c r="B29" s="9" t="s">
        <v>96</v>
      </c>
      <c r="C29" s="25" t="s">
        <v>24</v>
      </c>
      <c r="D29" s="29">
        <f>_xlfn.XLOOKUP(B29, [1]PEP!$B:$B,[1]PEP!$G:$G)</f>
        <v>1</v>
      </c>
      <c r="E29" s="45"/>
    </row>
    <row r="30" spans="1:5">
      <c r="A30" s="9">
        <v>28</v>
      </c>
      <c r="B30" s="9" t="s">
        <v>97</v>
      </c>
      <c r="C30" s="25" t="s">
        <v>24</v>
      </c>
      <c r="D30" s="29">
        <f>_xlfn.XLOOKUP(B30, [1]PEP!$B:$B,[1]PEP!$G:$G)</f>
        <v>1</v>
      </c>
      <c r="E30" s="45"/>
    </row>
    <row r="31" spans="1:5">
      <c r="A31" s="9">
        <v>29</v>
      </c>
      <c r="B31" s="9" t="s">
        <v>98</v>
      </c>
      <c r="C31" s="25" t="s">
        <v>24</v>
      </c>
      <c r="D31" s="29">
        <f>_xlfn.XLOOKUP(B31, [1]PEP!$B:$B,[1]PEP!$G:$G)</f>
        <v>0.99130434782608701</v>
      </c>
      <c r="E31" s="45"/>
    </row>
    <row r="32" spans="1:5">
      <c r="A32" s="9">
        <v>30</v>
      </c>
      <c r="B32" s="9" t="s">
        <v>99</v>
      </c>
      <c r="C32" s="25" t="s">
        <v>24</v>
      </c>
      <c r="D32" s="29">
        <f>_xlfn.XLOOKUP(B32, [1]PEP!$B:$B,[1]PEP!$G:$G)</f>
        <v>0.987341772151899</v>
      </c>
      <c r="E32" s="45"/>
    </row>
    <row r="33" spans="1:5">
      <c r="A33" s="9">
        <v>31</v>
      </c>
      <c r="B33" s="9" t="s">
        <v>100</v>
      </c>
      <c r="C33" s="25" t="s">
        <v>24</v>
      </c>
      <c r="D33" s="29">
        <f>_xlfn.XLOOKUP(B33, [1]PEP!$B:$B,[1]PEP!$G:$G)</f>
        <v>0.967741935483871</v>
      </c>
      <c r="E33" s="45"/>
    </row>
    <row r="34" spans="1:5">
      <c r="A34" s="9">
        <v>32</v>
      </c>
      <c r="B34" s="9" t="s">
        <v>101</v>
      </c>
      <c r="C34" s="25" t="s">
        <v>24</v>
      </c>
      <c r="D34" s="29">
        <f>_xlfn.XLOOKUP(B34, [1]PEP!$B:$B,[1]PEP!$G:$G)</f>
        <v>0.85</v>
      </c>
      <c r="E34" s="46"/>
    </row>
  </sheetData>
  <mergeCells count="2">
    <mergeCell ref="D1:E1"/>
    <mergeCell ref="E3:E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DA6C-5FD0-4631-8831-E2FE00DE09F0}">
  <sheetPr>
    <tabColor theme="6" tint="-0.249977111117893"/>
  </sheetPr>
  <dimension ref="A1:E34"/>
  <sheetViews>
    <sheetView topLeftCell="A25" workbookViewId="0">
      <selection activeCell="B3" sqref="B3:B34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3" customWidth="1"/>
  </cols>
  <sheetData>
    <row r="1" spans="1:5" ht="14.45">
      <c r="D1" s="47">
        <v>46280</v>
      </c>
      <c r="E1" s="43"/>
    </row>
    <row r="2" spans="1:5" ht="14.45">
      <c r="A2" s="4" t="s">
        <v>26</v>
      </c>
      <c r="B2" s="4" t="s">
        <v>27</v>
      </c>
      <c r="C2" s="4" t="s">
        <v>28</v>
      </c>
      <c r="D2" s="26" t="s">
        <v>102</v>
      </c>
      <c r="E2" s="23" t="s">
        <v>69</v>
      </c>
    </row>
    <row r="3" spans="1:5" ht="14.45">
      <c r="A3" s="3">
        <v>1</v>
      </c>
      <c r="B3" s="1" t="s">
        <v>70</v>
      </c>
      <c r="C3" s="25" t="s">
        <v>24</v>
      </c>
      <c r="D3" s="29">
        <f>_xlfn.XLOOKUP(B3, '[1]Bad Data'!$B:$B, '[1]Bad Data'!$D:$D)</f>
        <v>2.2000000000000001E-4</v>
      </c>
      <c r="E3" s="48">
        <f>AVERAGE(D3:D34)</f>
        <v>9.634375000000001E-4</v>
      </c>
    </row>
    <row r="4" spans="1:5" ht="14.45">
      <c r="A4" s="3">
        <v>2</v>
      </c>
      <c r="B4" s="1" t="s">
        <v>71</v>
      </c>
      <c r="C4" s="25" t="s">
        <v>24</v>
      </c>
      <c r="D4" s="29">
        <f>_xlfn.XLOOKUP(B4, '[1]Bad Data'!$B:$B, '[1]Bad Data'!$D:$D)</f>
        <v>2.1199999999999999E-3</v>
      </c>
      <c r="E4" s="49"/>
    </row>
    <row r="5" spans="1:5" ht="14.45">
      <c r="A5" s="3">
        <v>3</v>
      </c>
      <c r="B5" s="1" t="s">
        <v>72</v>
      </c>
      <c r="C5" s="25" t="s">
        <v>24</v>
      </c>
      <c r="D5" s="29">
        <f>_xlfn.XLOOKUP(B5, '[1]Bad Data'!$B:$B, '[1]Bad Data'!$D:$D)</f>
        <v>8.0000000000000007E-5</v>
      </c>
      <c r="E5" s="49"/>
    </row>
    <row r="6" spans="1:5" ht="14.45">
      <c r="A6" s="3">
        <v>4</v>
      </c>
      <c r="B6" s="1" t="s">
        <v>73</v>
      </c>
      <c r="C6" s="25" t="s">
        <v>24</v>
      </c>
      <c r="D6" s="29">
        <f>_xlfn.XLOOKUP(B6, '[1]Bad Data'!$B:$B, '[1]Bad Data'!$D:$D)</f>
        <v>5.2999999999999998E-4</v>
      </c>
      <c r="E6" s="49"/>
    </row>
    <row r="7" spans="1:5" ht="14.45">
      <c r="A7" s="3">
        <v>5</v>
      </c>
      <c r="B7" s="1" t="s">
        <v>74</v>
      </c>
      <c r="C7" s="25" t="s">
        <v>24</v>
      </c>
      <c r="D7" s="29">
        <f>_xlfn.XLOOKUP(B7, '[1]Bad Data'!$B:$B, '[1]Bad Data'!$D:$D)</f>
        <v>1.1199999999999999E-3</v>
      </c>
      <c r="E7" s="49"/>
    </row>
    <row r="8" spans="1:5" ht="14.45">
      <c r="A8" s="3">
        <v>6</v>
      </c>
      <c r="B8" s="1" t="s">
        <v>75</v>
      </c>
      <c r="C8" s="25" t="s">
        <v>24</v>
      </c>
      <c r="D8" s="29">
        <f>_xlfn.XLOOKUP(B8, '[1]Bad Data'!$B:$B, '[1]Bad Data'!$D:$D)</f>
        <v>1.09E-3</v>
      </c>
      <c r="E8" s="49"/>
    </row>
    <row r="9" spans="1:5" ht="14.45">
      <c r="A9" s="3">
        <v>7</v>
      </c>
      <c r="B9" s="1" t="s">
        <v>76</v>
      </c>
      <c r="C9" s="25" t="s">
        <v>24</v>
      </c>
      <c r="D9" s="29">
        <f>_xlfn.XLOOKUP(B9, '[1]Bad Data'!$B:$B, '[1]Bad Data'!$D:$D)</f>
        <v>1.17E-3</v>
      </c>
      <c r="E9" s="49"/>
    </row>
    <row r="10" spans="1:5" ht="14.45">
      <c r="A10" s="3">
        <v>8</v>
      </c>
      <c r="B10" s="1" t="s">
        <v>77</v>
      </c>
      <c r="C10" s="25" t="s">
        <v>24</v>
      </c>
      <c r="D10" s="29">
        <f>_xlfn.XLOOKUP(B10, '[1]Bad Data'!$B:$B, '[1]Bad Data'!$D:$D)</f>
        <v>1.74E-3</v>
      </c>
      <c r="E10" s="49"/>
    </row>
    <row r="11" spans="1:5" ht="14.45">
      <c r="A11" s="3">
        <v>9</v>
      </c>
      <c r="B11" s="1" t="s">
        <v>78</v>
      </c>
      <c r="C11" s="25" t="s">
        <v>24</v>
      </c>
      <c r="D11" s="29">
        <f>_xlfn.XLOOKUP(B11, '[1]Bad Data'!$B:$B, '[1]Bad Data'!$D:$D)</f>
        <v>2.1000000000000001E-4</v>
      </c>
      <c r="E11" s="49"/>
    </row>
    <row r="12" spans="1:5" ht="14.45">
      <c r="A12" s="3">
        <v>10</v>
      </c>
      <c r="B12" s="1" t="s">
        <v>79</v>
      </c>
      <c r="C12" s="25" t="s">
        <v>24</v>
      </c>
      <c r="D12" s="29">
        <f>_xlfn.XLOOKUP(B12, '[1]Bad Data'!$B:$B, '[1]Bad Data'!$D:$D)</f>
        <v>2.1800000000000001E-3</v>
      </c>
      <c r="E12" s="49"/>
    </row>
    <row r="13" spans="1:5" ht="14.45">
      <c r="A13" s="3">
        <v>11</v>
      </c>
      <c r="B13" s="1" t="s">
        <v>80</v>
      </c>
      <c r="C13" s="25" t="s">
        <v>24</v>
      </c>
      <c r="D13" s="29">
        <f>_xlfn.XLOOKUP(B13, '[1]Bad Data'!$B:$B, '[1]Bad Data'!$D:$D)</f>
        <v>1.23E-3</v>
      </c>
      <c r="E13" s="49"/>
    </row>
    <row r="14" spans="1:5" ht="14.45">
      <c r="A14" s="3">
        <v>12</v>
      </c>
      <c r="B14" s="1" t="s">
        <v>81</v>
      </c>
      <c r="C14" s="25" t="s">
        <v>24</v>
      </c>
      <c r="D14" s="29">
        <f>_xlfn.XLOOKUP(B14, '[1]Bad Data'!$B:$B, '[1]Bad Data'!$D:$D)</f>
        <v>2.31E-3</v>
      </c>
      <c r="E14" s="49"/>
    </row>
    <row r="15" spans="1:5" ht="14.45">
      <c r="A15" s="3">
        <v>13</v>
      </c>
      <c r="B15" s="1" t="s">
        <v>82</v>
      </c>
      <c r="C15" s="25" t="s">
        <v>24</v>
      </c>
      <c r="D15" s="29">
        <f>_xlfn.XLOOKUP(B15, '[1]Bad Data'!$B:$B, '[1]Bad Data'!$D:$D)</f>
        <v>1.4999999999999999E-4</v>
      </c>
      <c r="E15" s="49"/>
    </row>
    <row r="16" spans="1:5" ht="14.45">
      <c r="A16" s="3">
        <v>14</v>
      </c>
      <c r="B16" s="1" t="s">
        <v>83</v>
      </c>
      <c r="C16" s="25" t="s">
        <v>24</v>
      </c>
      <c r="D16" s="29">
        <f>_xlfn.XLOOKUP(B16, '[1]Bad Data'!$B:$B, '[1]Bad Data'!$D:$D)</f>
        <v>2.1000000000000001E-4</v>
      </c>
      <c r="E16" s="49"/>
    </row>
    <row r="17" spans="1:5" ht="14.45">
      <c r="A17" s="3">
        <v>15</v>
      </c>
      <c r="B17" s="2" t="s">
        <v>84</v>
      </c>
      <c r="C17" s="25" t="s">
        <v>24</v>
      </c>
      <c r="D17" s="29">
        <f>_xlfn.XLOOKUP(B17, '[1]Bad Data'!$B:$B, '[1]Bad Data'!$D:$D)</f>
        <v>1.5499999999999999E-3</v>
      </c>
      <c r="E17" s="49"/>
    </row>
    <row r="18" spans="1:5" ht="14.45">
      <c r="A18" s="3">
        <v>16</v>
      </c>
      <c r="B18" s="1" t="s">
        <v>85</v>
      </c>
      <c r="C18" s="25" t="s">
        <v>24</v>
      </c>
      <c r="D18" s="29">
        <f>_xlfn.XLOOKUP(B18, '[1]Bad Data'!$B:$B, '[1]Bad Data'!$D:$D)</f>
        <v>5.1999999999999995E-4</v>
      </c>
      <c r="E18" s="49"/>
    </row>
    <row r="19" spans="1:5" ht="14.45">
      <c r="A19" s="3">
        <v>17</v>
      </c>
      <c r="B19" s="1" t="s">
        <v>86</v>
      </c>
      <c r="C19" s="25" t="s">
        <v>24</v>
      </c>
      <c r="D19" s="29">
        <f>_xlfn.XLOOKUP(B19, '[1]Bad Data'!$B:$B, '[1]Bad Data'!$D:$D)</f>
        <v>2.1000000000000001E-4</v>
      </c>
      <c r="E19" s="49"/>
    </row>
    <row r="20" spans="1:5" ht="14.45">
      <c r="A20" s="3">
        <v>18</v>
      </c>
      <c r="B20" s="1" t="s">
        <v>87</v>
      </c>
      <c r="C20" s="25" t="s">
        <v>24</v>
      </c>
      <c r="D20" s="29">
        <f>_xlfn.XLOOKUP(B20, '[1]Bad Data'!$B:$B, '[1]Bad Data'!$D:$D)</f>
        <v>7.5000000000000002E-4</v>
      </c>
      <c r="E20" s="49"/>
    </row>
    <row r="21" spans="1:5" ht="14.45">
      <c r="A21" s="3">
        <v>19</v>
      </c>
      <c r="B21" s="1" t="s">
        <v>88</v>
      </c>
      <c r="C21" s="25" t="s">
        <v>24</v>
      </c>
      <c r="D21" s="29">
        <f>_xlfn.XLOOKUP(B21, '[1]Bad Data'!$B:$B, '[1]Bad Data'!$D:$D)</f>
        <v>1.8000000000000001E-4</v>
      </c>
      <c r="E21" s="49"/>
    </row>
    <row r="22" spans="1:5" ht="14.45">
      <c r="A22" s="3">
        <v>20</v>
      </c>
      <c r="B22" s="1" t="s">
        <v>89</v>
      </c>
      <c r="C22" s="25" t="s">
        <v>24</v>
      </c>
      <c r="D22" s="29">
        <f>_xlfn.XLOOKUP(B22, '[1]Bad Data'!$B:$B, '[1]Bad Data'!$D:$D)</f>
        <v>1.7899999999999999E-3</v>
      </c>
      <c r="E22" s="49"/>
    </row>
    <row r="23" spans="1:5" ht="14.45">
      <c r="A23" s="16">
        <v>21</v>
      </c>
      <c r="B23" s="17" t="s">
        <v>90</v>
      </c>
      <c r="C23" s="25" t="s">
        <v>24</v>
      </c>
      <c r="D23" s="29">
        <f>_xlfn.XLOOKUP(B23, '[1]Bad Data'!$B:$B, '[1]Bad Data'!$D:$D)</f>
        <v>2.2899999999999999E-3</v>
      </c>
      <c r="E23" s="49"/>
    </row>
    <row r="24" spans="1:5" ht="14.45">
      <c r="A24" s="9">
        <v>22</v>
      </c>
      <c r="B24" s="15" t="s">
        <v>91</v>
      </c>
      <c r="C24" s="25" t="s">
        <v>24</v>
      </c>
      <c r="D24" s="29">
        <f>_xlfn.XLOOKUP(B24, '[1]Bad Data'!$B:$B, '[1]Bad Data'!$D:$D)</f>
        <v>4.8000000000000001E-4</v>
      </c>
      <c r="E24" s="49"/>
    </row>
    <row r="25" spans="1:5" ht="14.45">
      <c r="A25" s="9">
        <v>23</v>
      </c>
      <c r="B25" s="15" t="s">
        <v>92</v>
      </c>
      <c r="C25" s="25" t="s">
        <v>24</v>
      </c>
      <c r="D25" s="29">
        <f>_xlfn.XLOOKUP(B25, '[1]Bad Data'!$B:$B, '[1]Bad Data'!$D:$D)</f>
        <v>1.5900000000000001E-3</v>
      </c>
      <c r="E25" s="49"/>
    </row>
    <row r="26" spans="1:5" ht="14.45">
      <c r="A26" s="9">
        <v>24</v>
      </c>
      <c r="B26" s="15" t="s">
        <v>93</v>
      </c>
      <c r="C26" s="25" t="s">
        <v>24</v>
      </c>
      <c r="D26" s="29">
        <f>_xlfn.XLOOKUP(B26, '[1]Bad Data'!$B:$B, '[1]Bad Data'!$D:$D)</f>
        <v>9.0000000000000006E-5</v>
      </c>
      <c r="E26" s="49"/>
    </row>
    <row r="27" spans="1:5" ht="14.45">
      <c r="A27" s="9">
        <v>25</v>
      </c>
      <c r="B27" s="9" t="s">
        <v>94</v>
      </c>
      <c r="C27" s="25" t="s">
        <v>24</v>
      </c>
      <c r="D27" s="29">
        <f>_xlfn.XLOOKUP(B27, '[1]Bad Data'!$B:$B, '[1]Bad Data'!$D:$D)</f>
        <v>1E-3</v>
      </c>
      <c r="E27" s="49"/>
    </row>
    <row r="28" spans="1:5" ht="14.45">
      <c r="A28" s="9">
        <v>26</v>
      </c>
      <c r="B28" s="9" t="s">
        <v>95</v>
      </c>
      <c r="C28" s="25" t="s">
        <v>24</v>
      </c>
      <c r="D28" s="29">
        <f>_xlfn.XLOOKUP(B28, '[1]Bad Data'!$B:$B, '[1]Bad Data'!$D:$D)</f>
        <v>2.1199999999999999E-3</v>
      </c>
      <c r="E28" s="49"/>
    </row>
    <row r="29" spans="1:5" ht="14.45">
      <c r="A29" s="9">
        <v>27</v>
      </c>
      <c r="B29" s="9" t="s">
        <v>96</v>
      </c>
      <c r="C29" s="25" t="s">
        <v>24</v>
      </c>
      <c r="D29" s="29">
        <f>_xlfn.XLOOKUP(B29, '[1]Bad Data'!$B:$B, '[1]Bad Data'!$D:$D)</f>
        <v>3.3E-4</v>
      </c>
      <c r="E29" s="49"/>
    </row>
    <row r="30" spans="1:5" ht="14.45">
      <c r="A30" s="9">
        <v>28</v>
      </c>
      <c r="B30" s="9" t="s">
        <v>97</v>
      </c>
      <c r="C30" s="25" t="s">
        <v>24</v>
      </c>
      <c r="D30" s="29">
        <f>_xlfn.XLOOKUP(B30, '[1]Bad Data'!$B:$B, '[1]Bad Data'!$D:$D)</f>
        <v>2.1000000000000001E-4</v>
      </c>
      <c r="E30" s="49"/>
    </row>
    <row r="31" spans="1:5" ht="14.45">
      <c r="A31" s="9">
        <v>29</v>
      </c>
      <c r="B31" s="9" t="s">
        <v>98</v>
      </c>
      <c r="C31" s="25" t="s">
        <v>24</v>
      </c>
      <c r="D31" s="29">
        <f>_xlfn.XLOOKUP(B31, '[1]Bad Data'!$B:$B, '[1]Bad Data'!$D:$D)</f>
        <v>5.6999999999999998E-4</v>
      </c>
      <c r="E31" s="49"/>
    </row>
    <row r="32" spans="1:5" ht="14.45">
      <c r="A32" s="9">
        <v>30</v>
      </c>
      <c r="B32" s="9" t="s">
        <v>99</v>
      </c>
      <c r="C32" s="25" t="s">
        <v>24</v>
      </c>
      <c r="D32" s="29">
        <f>_xlfn.XLOOKUP(B32, '[1]Bad Data'!$B:$B, '[1]Bad Data'!$D:$D)</f>
        <v>1.4300000000000001E-3</v>
      </c>
      <c r="E32" s="49"/>
    </row>
    <row r="33" spans="1:5" ht="14.45">
      <c r="A33" s="9">
        <v>31</v>
      </c>
      <c r="B33" s="9" t="s">
        <v>100</v>
      </c>
      <c r="C33" s="25" t="s">
        <v>24</v>
      </c>
      <c r="D33" s="29">
        <f>_xlfn.XLOOKUP(B33, '[1]Bad Data'!$B:$B, '[1]Bad Data'!$D:$D)</f>
        <v>1.2E-4</v>
      </c>
      <c r="E33" s="49"/>
    </row>
    <row r="34" spans="1:5" ht="14.45">
      <c r="A34" s="9">
        <v>32</v>
      </c>
      <c r="B34" s="9" t="s">
        <v>101</v>
      </c>
      <c r="C34" s="25" t="s">
        <v>24</v>
      </c>
      <c r="D34" s="29">
        <f>_xlfn.XLOOKUP(B34, '[1]Bad Data'!$B:$B, '[1]Bad Data'!$D:$D)</f>
        <v>1.24E-3</v>
      </c>
      <c r="E34" s="50"/>
    </row>
  </sheetData>
  <mergeCells count="2">
    <mergeCell ref="D1:E1"/>
    <mergeCell ref="E3:E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34"/>
  <sheetViews>
    <sheetView workbookViewId="0">
      <selection activeCell="G17" sqref="G17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bestFit="1" customWidth="1"/>
  </cols>
  <sheetData>
    <row r="1" spans="1:5">
      <c r="D1" s="47">
        <v>46280</v>
      </c>
      <c r="E1" s="43"/>
    </row>
    <row r="2" spans="1:5">
      <c r="A2" s="4" t="s">
        <v>26</v>
      </c>
      <c r="B2" s="4" t="s">
        <v>27</v>
      </c>
      <c r="C2" s="4" t="s">
        <v>28</v>
      </c>
      <c r="D2" s="24" t="s">
        <v>103</v>
      </c>
      <c r="E2" s="23" t="s">
        <v>69</v>
      </c>
    </row>
    <row r="3" spans="1:5">
      <c r="A3" s="3">
        <v>1</v>
      </c>
      <c r="B3" s="1" t="s">
        <v>70</v>
      </c>
      <c r="C3" s="3" t="s">
        <v>24</v>
      </c>
      <c r="D3" s="28">
        <f>_xlfn.XLOOKUP(B3,'[1]Pengkinian Data'!$B:$B,'[1]Pengkinian Data'!$E:$E)</f>
        <v>1</v>
      </c>
      <c r="E3" s="51">
        <f>AVERAGE(D3:D34)</f>
        <v>0.99999062500000002</v>
      </c>
    </row>
    <row r="4" spans="1:5">
      <c r="A4" s="3">
        <v>2</v>
      </c>
      <c r="B4" s="1" t="s">
        <v>71</v>
      </c>
      <c r="C4" s="3" t="s">
        <v>24</v>
      </c>
      <c r="D4" s="28">
        <f>_xlfn.XLOOKUP(B4,'[1]Pengkinian Data'!$B:$B,'[1]Pengkinian Data'!$E:$E)</f>
        <v>1</v>
      </c>
      <c r="E4" s="52"/>
    </row>
    <row r="5" spans="1:5">
      <c r="A5" s="3">
        <v>3</v>
      </c>
      <c r="B5" s="1" t="s">
        <v>72</v>
      </c>
      <c r="C5" s="3" t="s">
        <v>24</v>
      </c>
      <c r="D5" s="28">
        <f>_xlfn.XLOOKUP(B5,'[1]Pengkinian Data'!$B:$B,'[1]Pengkinian Data'!$E:$E)</f>
        <v>1</v>
      </c>
      <c r="E5" s="52"/>
    </row>
    <row r="6" spans="1:5">
      <c r="A6" s="3">
        <v>4</v>
      </c>
      <c r="B6" s="1" t="s">
        <v>73</v>
      </c>
      <c r="C6" s="3" t="s">
        <v>24</v>
      </c>
      <c r="D6" s="28">
        <f>_xlfn.XLOOKUP(B6,'[1]Pengkinian Data'!$B:$B,'[1]Pengkinian Data'!$E:$E)</f>
        <v>1</v>
      </c>
      <c r="E6" s="52"/>
    </row>
    <row r="7" spans="1:5">
      <c r="A7" s="3">
        <v>5</v>
      </c>
      <c r="B7" s="1" t="s">
        <v>74</v>
      </c>
      <c r="C7" s="3" t="s">
        <v>24</v>
      </c>
      <c r="D7" s="28">
        <f>_xlfn.XLOOKUP(B7,'[1]Pengkinian Data'!$B:$B,'[1]Pengkinian Data'!$E:$E)</f>
        <v>1</v>
      </c>
      <c r="E7" s="52"/>
    </row>
    <row r="8" spans="1:5">
      <c r="A8" s="3">
        <v>6</v>
      </c>
      <c r="B8" s="1" t="s">
        <v>75</v>
      </c>
      <c r="C8" s="3" t="s">
        <v>24</v>
      </c>
      <c r="D8" s="28">
        <f>_xlfn.XLOOKUP(B8,'[1]Pengkinian Data'!$B:$B,'[1]Pengkinian Data'!$E:$E)</f>
        <v>1</v>
      </c>
      <c r="E8" s="52"/>
    </row>
    <row r="9" spans="1:5">
      <c r="A9" s="3">
        <v>7</v>
      </c>
      <c r="B9" s="1" t="s">
        <v>76</v>
      </c>
      <c r="C9" s="3" t="s">
        <v>24</v>
      </c>
      <c r="D9" s="28">
        <f>_xlfn.XLOOKUP(B9,'[1]Pengkinian Data'!$B:$B,'[1]Pengkinian Data'!$E:$E)</f>
        <v>1</v>
      </c>
      <c r="E9" s="52"/>
    </row>
    <row r="10" spans="1:5">
      <c r="A10" s="3">
        <v>8</v>
      </c>
      <c r="B10" s="1" t="s">
        <v>77</v>
      </c>
      <c r="C10" s="3" t="s">
        <v>24</v>
      </c>
      <c r="D10" s="28">
        <f>_xlfn.XLOOKUP(B10,'[1]Pengkinian Data'!$B:$B,'[1]Pengkinian Data'!$E:$E)</f>
        <v>1</v>
      </c>
      <c r="E10" s="52"/>
    </row>
    <row r="11" spans="1:5">
      <c r="A11" s="3">
        <v>9</v>
      </c>
      <c r="B11" s="1" t="s">
        <v>78</v>
      </c>
      <c r="C11" s="3" t="s">
        <v>24</v>
      </c>
      <c r="D11" s="28">
        <f>_xlfn.XLOOKUP(B11,'[1]Pengkinian Data'!$B:$B,'[1]Pengkinian Data'!$E:$E)</f>
        <v>1</v>
      </c>
      <c r="E11" s="52"/>
    </row>
    <row r="12" spans="1:5">
      <c r="A12" s="3">
        <v>10</v>
      </c>
      <c r="B12" s="1" t="s">
        <v>79</v>
      </c>
      <c r="C12" s="3" t="s">
        <v>24</v>
      </c>
      <c r="D12" s="28">
        <f>_xlfn.XLOOKUP(B12,'[1]Pengkinian Data'!$B:$B,'[1]Pengkinian Data'!$E:$E)</f>
        <v>1</v>
      </c>
      <c r="E12" s="52"/>
    </row>
    <row r="13" spans="1:5">
      <c r="A13" s="3">
        <v>11</v>
      </c>
      <c r="B13" s="1" t="s">
        <v>80</v>
      </c>
      <c r="C13" s="3" t="s">
        <v>24</v>
      </c>
      <c r="D13" s="28">
        <f>_xlfn.XLOOKUP(B13,'[1]Pengkinian Data'!$B:$B,'[1]Pengkinian Data'!$E:$E)</f>
        <v>1</v>
      </c>
      <c r="E13" s="52"/>
    </row>
    <row r="14" spans="1:5">
      <c r="A14" s="3">
        <v>12</v>
      </c>
      <c r="B14" s="1" t="s">
        <v>81</v>
      </c>
      <c r="C14" s="3" t="s">
        <v>24</v>
      </c>
      <c r="D14" s="28">
        <f>_xlfn.XLOOKUP(B14,'[1]Pengkinian Data'!$B:$B,'[1]Pengkinian Data'!$E:$E)</f>
        <v>1</v>
      </c>
      <c r="E14" s="52"/>
    </row>
    <row r="15" spans="1:5">
      <c r="A15" s="3">
        <v>13</v>
      </c>
      <c r="B15" s="1" t="s">
        <v>82</v>
      </c>
      <c r="C15" s="3" t="s">
        <v>24</v>
      </c>
      <c r="D15" s="28">
        <f>_xlfn.XLOOKUP(B15,'[1]Pengkinian Data'!$B:$B,'[1]Pengkinian Data'!$E:$E)</f>
        <v>1</v>
      </c>
      <c r="E15" s="52"/>
    </row>
    <row r="16" spans="1:5">
      <c r="A16" s="3">
        <v>14</v>
      </c>
      <c r="B16" s="1" t="s">
        <v>83</v>
      </c>
      <c r="C16" s="3" t="s">
        <v>24</v>
      </c>
      <c r="D16" s="28">
        <f>_xlfn.XLOOKUP(B16,'[1]Pengkinian Data'!$B:$B,'[1]Pengkinian Data'!$E:$E)</f>
        <v>1</v>
      </c>
      <c r="E16" s="52"/>
    </row>
    <row r="17" spans="1:5">
      <c r="A17" s="3">
        <v>15</v>
      </c>
      <c r="B17" s="2" t="s">
        <v>84</v>
      </c>
      <c r="C17" s="3" t="s">
        <v>24</v>
      </c>
      <c r="D17" s="28">
        <f>_xlfn.XLOOKUP(B17,'[1]Pengkinian Data'!$B:$B,'[1]Pengkinian Data'!$E:$E)</f>
        <v>1</v>
      </c>
      <c r="E17" s="52"/>
    </row>
    <row r="18" spans="1:5">
      <c r="A18" s="3">
        <v>16</v>
      </c>
      <c r="B18" s="1" t="s">
        <v>85</v>
      </c>
      <c r="C18" s="3" t="s">
        <v>24</v>
      </c>
      <c r="D18" s="28">
        <f>_xlfn.XLOOKUP(B18,'[1]Pengkinian Data'!$B:$B,'[1]Pengkinian Data'!$E:$E)</f>
        <v>0.99970000000000003</v>
      </c>
      <c r="E18" s="52"/>
    </row>
    <row r="19" spans="1:5">
      <c r="A19" s="3">
        <v>17</v>
      </c>
      <c r="B19" s="1" t="s">
        <v>86</v>
      </c>
      <c r="C19" s="3" t="s">
        <v>24</v>
      </c>
      <c r="D19" s="28">
        <f>_xlfn.XLOOKUP(B19,'[1]Pengkinian Data'!$B:$B,'[1]Pengkinian Data'!$E:$E)</f>
        <v>1</v>
      </c>
      <c r="E19" s="52"/>
    </row>
    <row r="20" spans="1:5">
      <c r="A20" s="3">
        <v>18</v>
      </c>
      <c r="B20" s="1" t="s">
        <v>87</v>
      </c>
      <c r="C20" s="3" t="s">
        <v>24</v>
      </c>
      <c r="D20" s="28">
        <f>_xlfn.XLOOKUP(B20,'[1]Pengkinian Data'!$B:$B,'[1]Pengkinian Data'!$E:$E)</f>
        <v>1</v>
      </c>
      <c r="E20" s="52"/>
    </row>
    <row r="21" spans="1:5">
      <c r="A21" s="3">
        <v>19</v>
      </c>
      <c r="B21" s="1" t="s">
        <v>88</v>
      </c>
      <c r="C21" s="3" t="s">
        <v>24</v>
      </c>
      <c r="D21" s="28">
        <f>_xlfn.XLOOKUP(B21,'[1]Pengkinian Data'!$B:$B,'[1]Pengkinian Data'!$E:$E)</f>
        <v>1</v>
      </c>
      <c r="E21" s="52"/>
    </row>
    <row r="22" spans="1:5">
      <c r="A22" s="3">
        <v>20</v>
      </c>
      <c r="B22" s="1" t="s">
        <v>89</v>
      </c>
      <c r="C22" s="3" t="s">
        <v>24</v>
      </c>
      <c r="D22" s="28">
        <f>_xlfn.XLOOKUP(B22,'[1]Pengkinian Data'!$B:$B,'[1]Pengkinian Data'!$E:$E)</f>
        <v>1</v>
      </c>
      <c r="E22" s="52"/>
    </row>
    <row r="23" spans="1:5">
      <c r="A23" s="16">
        <v>21</v>
      </c>
      <c r="B23" s="17" t="s">
        <v>90</v>
      </c>
      <c r="C23" s="3" t="s">
        <v>24</v>
      </c>
      <c r="D23" s="28">
        <f>_xlfn.XLOOKUP(B23,'[1]Pengkinian Data'!$B:$B,'[1]Pengkinian Data'!$E:$E)</f>
        <v>1</v>
      </c>
      <c r="E23" s="52"/>
    </row>
    <row r="24" spans="1:5">
      <c r="A24" s="9">
        <v>22</v>
      </c>
      <c r="B24" s="15" t="s">
        <v>91</v>
      </c>
      <c r="C24" s="3" t="s">
        <v>24</v>
      </c>
      <c r="D24" s="28">
        <f>_xlfn.XLOOKUP(B24,'[1]Pengkinian Data'!$B:$B,'[1]Pengkinian Data'!$E:$E)</f>
        <v>1</v>
      </c>
      <c r="E24" s="52"/>
    </row>
    <row r="25" spans="1:5">
      <c r="A25" s="9">
        <v>23</v>
      </c>
      <c r="B25" s="15" t="s">
        <v>92</v>
      </c>
      <c r="C25" s="3" t="s">
        <v>24</v>
      </c>
      <c r="D25" s="28">
        <f>_xlfn.XLOOKUP(B25,'[1]Pengkinian Data'!$B:$B,'[1]Pengkinian Data'!$E:$E)</f>
        <v>1</v>
      </c>
      <c r="E25" s="52"/>
    </row>
    <row r="26" spans="1:5">
      <c r="A26" s="9">
        <v>24</v>
      </c>
      <c r="B26" s="15" t="s">
        <v>93</v>
      </c>
      <c r="C26" s="3" t="s">
        <v>24</v>
      </c>
      <c r="D26" s="28">
        <f>_xlfn.XLOOKUP(B26,'[1]Pengkinian Data'!$B:$B,'[1]Pengkinian Data'!$E:$E)</f>
        <v>1</v>
      </c>
      <c r="E26" s="52"/>
    </row>
    <row r="27" spans="1:5">
      <c r="A27" s="9">
        <v>25</v>
      </c>
      <c r="B27" s="9" t="s">
        <v>94</v>
      </c>
      <c r="C27" s="3" t="s">
        <v>24</v>
      </c>
      <c r="D27" s="28">
        <f>_xlfn.XLOOKUP(B27,'[1]Pengkinian Data'!$B:$B,'[1]Pengkinian Data'!$E:$E)</f>
        <v>1</v>
      </c>
      <c r="E27" s="52"/>
    </row>
    <row r="28" spans="1:5">
      <c r="A28" s="9">
        <v>26</v>
      </c>
      <c r="B28" s="9" t="s">
        <v>95</v>
      </c>
      <c r="C28" s="3" t="s">
        <v>24</v>
      </c>
      <c r="D28" s="28">
        <f>_xlfn.XLOOKUP(B28,'[1]Pengkinian Data'!$B:$B,'[1]Pengkinian Data'!$E:$E)</f>
        <v>1</v>
      </c>
      <c r="E28" s="52"/>
    </row>
    <row r="29" spans="1:5">
      <c r="A29" s="9">
        <v>27</v>
      </c>
      <c r="B29" s="9" t="s">
        <v>96</v>
      </c>
      <c r="C29" s="3" t="s">
        <v>24</v>
      </c>
      <c r="D29" s="28">
        <f>_xlfn.XLOOKUP(B29,'[1]Pengkinian Data'!$B:$B,'[1]Pengkinian Data'!$E:$E)</f>
        <v>1</v>
      </c>
      <c r="E29" s="52"/>
    </row>
    <row r="30" spans="1:5">
      <c r="A30" s="9">
        <v>28</v>
      </c>
      <c r="B30" s="9" t="s">
        <v>97</v>
      </c>
      <c r="C30" s="3" t="s">
        <v>24</v>
      </c>
      <c r="D30" s="28">
        <f>_xlfn.XLOOKUP(B30,'[1]Pengkinian Data'!$B:$B,'[1]Pengkinian Data'!$E:$E)</f>
        <v>1</v>
      </c>
      <c r="E30" s="52"/>
    </row>
    <row r="31" spans="1:5">
      <c r="A31" s="9">
        <v>29</v>
      </c>
      <c r="B31" s="9" t="s">
        <v>98</v>
      </c>
      <c r="C31" s="3" t="s">
        <v>24</v>
      </c>
      <c r="D31" s="28">
        <f>_xlfn.XLOOKUP(B31,'[1]Pengkinian Data'!$B:$B,'[1]Pengkinian Data'!$E:$E)</f>
        <v>1</v>
      </c>
      <c r="E31" s="52"/>
    </row>
    <row r="32" spans="1:5">
      <c r="A32" s="9">
        <v>30</v>
      </c>
      <c r="B32" s="9" t="s">
        <v>99</v>
      </c>
      <c r="C32" s="3" t="s">
        <v>24</v>
      </c>
      <c r="D32" s="28">
        <f>_xlfn.XLOOKUP(B32,'[1]Pengkinian Data'!$B:$B,'[1]Pengkinian Data'!$E:$E)</f>
        <v>1</v>
      </c>
      <c r="E32" s="52"/>
    </row>
    <row r="33" spans="1:5">
      <c r="A33" s="9">
        <v>31</v>
      </c>
      <c r="B33" s="9" t="s">
        <v>100</v>
      </c>
      <c r="C33" s="3" t="s">
        <v>24</v>
      </c>
      <c r="D33" s="28">
        <f>_xlfn.XLOOKUP(B33,'[1]Pengkinian Data'!$B:$B,'[1]Pengkinian Data'!$E:$E)</f>
        <v>1</v>
      </c>
      <c r="E33" s="52"/>
    </row>
    <row r="34" spans="1:5">
      <c r="A34" s="9">
        <v>32</v>
      </c>
      <c r="B34" s="9" t="s">
        <v>101</v>
      </c>
      <c r="C34" s="3" t="s">
        <v>24</v>
      </c>
      <c r="D34" s="28">
        <f>_xlfn.XLOOKUP(B34,'[1]Pengkinian Data'!$B:$B,'[1]Pengkinian Data'!$E:$E)</f>
        <v>1</v>
      </c>
      <c r="E34" s="53"/>
    </row>
  </sheetData>
  <mergeCells count="2">
    <mergeCell ref="D1:E1"/>
    <mergeCell ref="E3:E34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41"/>
  <sheetViews>
    <sheetView topLeftCell="A27" workbookViewId="0">
      <selection activeCell="B42" sqref="B42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4" t="s">
        <v>26</v>
      </c>
      <c r="B1" s="54" t="s">
        <v>27</v>
      </c>
      <c r="C1" s="54" t="s">
        <v>28</v>
      </c>
      <c r="D1" s="54" t="s">
        <v>104</v>
      </c>
      <c r="E1" s="54" t="s">
        <v>31</v>
      </c>
      <c r="F1" s="54" t="s">
        <v>34</v>
      </c>
    </row>
    <row r="2" spans="1:6" s="7" customFormat="1">
      <c r="A2" s="55"/>
      <c r="B2" s="55"/>
      <c r="C2" s="55"/>
      <c r="D2" s="55"/>
      <c r="E2" s="55"/>
      <c r="F2" s="55"/>
    </row>
    <row r="3" spans="1:6">
      <c r="A3" s="3"/>
      <c r="B3" s="1"/>
      <c r="C3" s="3"/>
      <c r="D3" s="3"/>
      <c r="E3" s="3"/>
      <c r="F3" s="3"/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59</v>
      </c>
    </row>
    <row r="30" spans="1:6">
      <c r="B30" s="5" t="s">
        <v>60</v>
      </c>
    </row>
    <row r="31" spans="1:6">
      <c r="B31" s="6" t="s">
        <v>105</v>
      </c>
    </row>
    <row r="34" spans="2:2">
      <c r="B34" t="s">
        <v>62</v>
      </c>
    </row>
    <row r="35" spans="2:2">
      <c r="B35" t="s">
        <v>63</v>
      </c>
    </row>
    <row r="36" spans="2:2">
      <c r="B36" t="s">
        <v>64</v>
      </c>
    </row>
    <row r="37" spans="2:2">
      <c r="B37" t="s">
        <v>65</v>
      </c>
    </row>
    <row r="38" spans="2:2">
      <c r="B38" t="s">
        <v>106</v>
      </c>
    </row>
    <row r="39" spans="2:2">
      <c r="B39" t="s">
        <v>107</v>
      </c>
    </row>
    <row r="41" spans="2:2">
      <c r="B41" t="s">
        <v>108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1A36-25CF-482F-B2A3-F1A234FE805C}">
  <dimension ref="A1:F33"/>
  <sheetViews>
    <sheetView topLeftCell="A11" workbookViewId="0">
      <selection activeCell="C10" sqref="C10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6">
      <c r="A1" s="4" t="s">
        <v>26</v>
      </c>
      <c r="B1" s="4" t="s">
        <v>27</v>
      </c>
      <c r="C1" s="4" t="s">
        <v>28</v>
      </c>
      <c r="D1" s="4" t="s">
        <v>109</v>
      </c>
      <c r="E1" s="4" t="s">
        <v>109</v>
      </c>
      <c r="F1" s="4" t="s">
        <v>110</v>
      </c>
    </row>
    <row r="2" spans="1:6">
      <c r="A2" s="3">
        <v>2</v>
      </c>
      <c r="B2" s="20" t="s">
        <v>71</v>
      </c>
      <c r="C2" s="3" t="s">
        <v>24</v>
      </c>
      <c r="D2" s="19">
        <v>8.016</v>
      </c>
      <c r="E2" s="56">
        <f>AVERAGE(D2:D33)</f>
        <v>8.3360937500000016</v>
      </c>
      <c r="F2" s="56" t="s">
        <v>111</v>
      </c>
    </row>
    <row r="3" spans="1:6">
      <c r="A3" s="3">
        <v>3</v>
      </c>
      <c r="B3" s="20" t="s">
        <v>72</v>
      </c>
      <c r="C3" s="3" t="s">
        <v>24</v>
      </c>
      <c r="D3" s="19">
        <v>8.6760000000000002</v>
      </c>
      <c r="E3" s="57"/>
      <c r="F3" s="57"/>
    </row>
    <row r="4" spans="1:6">
      <c r="A4" s="3">
        <v>28</v>
      </c>
      <c r="B4" s="3" t="s">
        <v>97</v>
      </c>
      <c r="C4" s="3" t="s">
        <v>24</v>
      </c>
      <c r="D4" s="3">
        <v>7.4969999999999999</v>
      </c>
      <c r="E4" s="57"/>
      <c r="F4" s="57"/>
    </row>
    <row r="5" spans="1:6">
      <c r="A5" s="3">
        <v>4</v>
      </c>
      <c r="B5" s="20" t="s">
        <v>112</v>
      </c>
      <c r="C5" s="3" t="s">
        <v>24</v>
      </c>
      <c r="D5" s="19">
        <v>9.3610000000000007</v>
      </c>
      <c r="E5" s="57"/>
      <c r="F5" s="57"/>
    </row>
    <row r="6" spans="1:6">
      <c r="A6" s="3">
        <v>5</v>
      </c>
      <c r="B6" s="20" t="s">
        <v>113</v>
      </c>
      <c r="C6" s="3" t="s">
        <v>24</v>
      </c>
      <c r="D6" s="19">
        <v>8.4420000000000002</v>
      </c>
      <c r="E6" s="57"/>
      <c r="F6" s="57"/>
    </row>
    <row r="7" spans="1:6">
      <c r="A7" s="3">
        <v>6</v>
      </c>
      <c r="B7" s="20" t="s">
        <v>75</v>
      </c>
      <c r="C7" s="3" t="s">
        <v>24</v>
      </c>
      <c r="D7" s="19">
        <v>8.9890000000000008</v>
      </c>
      <c r="E7" s="57"/>
      <c r="F7" s="57"/>
    </row>
    <row r="8" spans="1:6">
      <c r="A8" s="3">
        <v>7</v>
      </c>
      <c r="B8" s="20" t="s">
        <v>76</v>
      </c>
      <c r="C8" s="3" t="s">
        <v>24</v>
      </c>
      <c r="D8" s="19">
        <v>9.2390000000000008</v>
      </c>
      <c r="E8" s="57"/>
      <c r="F8" s="57"/>
    </row>
    <row r="9" spans="1:6">
      <c r="A9" s="3">
        <v>8</v>
      </c>
      <c r="B9" s="20" t="s">
        <v>77</v>
      </c>
      <c r="C9" s="3" t="s">
        <v>24</v>
      </c>
      <c r="D9" s="19">
        <v>8.3119999999999994</v>
      </c>
      <c r="E9" s="57"/>
      <c r="F9" s="57"/>
    </row>
    <row r="10" spans="1:6">
      <c r="A10" s="3">
        <v>9</v>
      </c>
      <c r="B10" s="20" t="s">
        <v>78</v>
      </c>
      <c r="C10" s="3" t="s">
        <v>24</v>
      </c>
      <c r="D10" s="19">
        <v>7.0970000000000004</v>
      </c>
      <c r="E10" s="57"/>
      <c r="F10" s="57"/>
    </row>
    <row r="11" spans="1:6">
      <c r="A11" s="3">
        <v>10</v>
      </c>
      <c r="B11" s="20" t="s">
        <v>79</v>
      </c>
      <c r="C11" s="3" t="s">
        <v>24</v>
      </c>
      <c r="D11" s="19">
        <v>6.8659999999999997</v>
      </c>
      <c r="E11" s="57"/>
      <c r="F11" s="57"/>
    </row>
    <row r="12" spans="1:6">
      <c r="A12" s="3">
        <v>11</v>
      </c>
      <c r="B12" s="20" t="s">
        <v>80</v>
      </c>
      <c r="C12" s="3" t="s">
        <v>24</v>
      </c>
      <c r="D12" s="19">
        <v>7.41</v>
      </c>
      <c r="E12" s="57"/>
      <c r="F12" s="57"/>
    </row>
    <row r="13" spans="1:6">
      <c r="A13" s="3">
        <v>12</v>
      </c>
      <c r="B13" s="20" t="s">
        <v>81</v>
      </c>
      <c r="C13" s="3" t="s">
        <v>24</v>
      </c>
      <c r="D13" s="19">
        <v>9.3390000000000004</v>
      </c>
      <c r="E13" s="57"/>
      <c r="F13" s="57"/>
    </row>
    <row r="14" spans="1:6">
      <c r="A14" s="3">
        <v>13</v>
      </c>
      <c r="B14" s="20" t="s">
        <v>114</v>
      </c>
      <c r="C14" s="3" t="s">
        <v>24</v>
      </c>
      <c r="D14" s="19">
        <v>7.9359999999999999</v>
      </c>
      <c r="E14" s="57"/>
      <c r="F14" s="57"/>
    </row>
    <row r="15" spans="1:6">
      <c r="A15" s="3">
        <v>15</v>
      </c>
      <c r="B15" s="3" t="s">
        <v>84</v>
      </c>
      <c r="C15" s="3" t="s">
        <v>24</v>
      </c>
      <c r="D15" s="3">
        <v>9.8620000000000001</v>
      </c>
      <c r="E15" s="57"/>
      <c r="F15" s="57"/>
    </row>
    <row r="16" spans="1:6">
      <c r="A16" s="3">
        <v>16</v>
      </c>
      <c r="B16" s="3" t="s">
        <v>85</v>
      </c>
      <c r="C16" s="3" t="s">
        <v>24</v>
      </c>
      <c r="D16" s="3">
        <v>6.2990000000000004</v>
      </c>
      <c r="E16" s="57"/>
      <c r="F16" s="57"/>
    </row>
    <row r="17" spans="1:6">
      <c r="A17" s="3">
        <v>18</v>
      </c>
      <c r="B17" s="3" t="s">
        <v>87</v>
      </c>
      <c r="C17" s="3" t="s">
        <v>24</v>
      </c>
      <c r="D17" s="3">
        <v>8.8810000000000002</v>
      </c>
      <c r="E17" s="57"/>
      <c r="F17" s="57"/>
    </row>
    <row r="18" spans="1:6">
      <c r="A18" s="3">
        <v>14</v>
      </c>
      <c r="B18" s="21" t="s">
        <v>115</v>
      </c>
      <c r="C18" s="3" t="s">
        <v>24</v>
      </c>
      <c r="D18" s="19">
        <v>9.1859999999999999</v>
      </c>
      <c r="E18" s="57"/>
      <c r="F18" s="57"/>
    </row>
    <row r="19" spans="1:6">
      <c r="A19" s="3">
        <v>1</v>
      </c>
      <c r="B19" s="20" t="s">
        <v>70</v>
      </c>
      <c r="C19" s="3" t="s">
        <v>24</v>
      </c>
      <c r="D19" s="19">
        <v>8.9350000000000005</v>
      </c>
      <c r="E19" s="57"/>
      <c r="F19" s="57"/>
    </row>
    <row r="20" spans="1:6">
      <c r="A20" s="3">
        <v>17</v>
      </c>
      <c r="B20" s="3" t="s">
        <v>116</v>
      </c>
      <c r="C20" s="3" t="s">
        <v>24</v>
      </c>
      <c r="D20" s="3">
        <v>6.7119999999999997</v>
      </c>
      <c r="E20" s="57"/>
      <c r="F20" s="57"/>
    </row>
    <row r="21" spans="1:6">
      <c r="A21" s="3">
        <v>19</v>
      </c>
      <c r="B21" s="3" t="s">
        <v>88</v>
      </c>
      <c r="C21" s="3" t="s">
        <v>24</v>
      </c>
      <c r="D21" s="3">
        <v>8.8780000000000001</v>
      </c>
      <c r="E21" s="57"/>
      <c r="F21" s="57"/>
    </row>
    <row r="22" spans="1:6">
      <c r="A22" s="3">
        <v>20</v>
      </c>
      <c r="B22" s="3" t="s">
        <v>89</v>
      </c>
      <c r="C22" s="3" t="s">
        <v>24</v>
      </c>
      <c r="D22" s="3">
        <v>6.6790000000000003</v>
      </c>
      <c r="E22" s="57"/>
      <c r="F22" s="57"/>
    </row>
    <row r="23" spans="1:6">
      <c r="A23" s="3">
        <v>21</v>
      </c>
      <c r="B23" s="3" t="s">
        <v>90</v>
      </c>
      <c r="C23" s="3" t="s">
        <v>24</v>
      </c>
      <c r="D23" s="3">
        <v>8.3870000000000005</v>
      </c>
      <c r="E23" s="57"/>
      <c r="F23" s="57"/>
    </row>
    <row r="24" spans="1:6">
      <c r="A24" s="3">
        <v>22</v>
      </c>
      <c r="B24" s="3" t="s">
        <v>91</v>
      </c>
      <c r="C24" s="3" t="s">
        <v>24</v>
      </c>
      <c r="D24" s="3">
        <v>7.6980000000000004</v>
      </c>
      <c r="E24" s="57"/>
      <c r="F24" s="57"/>
    </row>
    <row r="25" spans="1:6">
      <c r="A25" s="3">
        <v>23</v>
      </c>
      <c r="B25" s="3" t="s">
        <v>92</v>
      </c>
      <c r="C25" s="3" t="s">
        <v>24</v>
      </c>
      <c r="D25" s="3">
        <v>9.4550000000000001</v>
      </c>
      <c r="E25" s="57"/>
      <c r="F25" s="57"/>
    </row>
    <row r="26" spans="1:6">
      <c r="A26" s="3">
        <v>31</v>
      </c>
      <c r="B26" s="3" t="s">
        <v>100</v>
      </c>
      <c r="C26" s="3" t="s">
        <v>24</v>
      </c>
      <c r="D26" s="3">
        <v>9.7029999999999994</v>
      </c>
      <c r="E26" s="57"/>
      <c r="F26" s="57"/>
    </row>
    <row r="27" spans="1:6">
      <c r="A27" s="3">
        <v>32</v>
      </c>
      <c r="B27" s="3" t="s">
        <v>101</v>
      </c>
      <c r="C27" s="3" t="s">
        <v>24</v>
      </c>
      <c r="D27" s="3">
        <v>9.1150000000000002</v>
      </c>
      <c r="E27" s="57"/>
      <c r="F27" s="57"/>
    </row>
    <row r="28" spans="1:6">
      <c r="A28" s="3">
        <v>24</v>
      </c>
      <c r="B28" s="3" t="s">
        <v>93</v>
      </c>
      <c r="C28" s="3" t="s">
        <v>24</v>
      </c>
      <c r="D28" s="3">
        <v>7.1509999999999998</v>
      </c>
      <c r="E28" s="57"/>
      <c r="F28" s="57"/>
    </row>
    <row r="29" spans="1:6">
      <c r="A29" s="3">
        <v>25</v>
      </c>
      <c r="B29" s="3" t="s">
        <v>94</v>
      </c>
      <c r="C29" s="3" t="s">
        <v>24</v>
      </c>
      <c r="D29" s="3">
        <v>8.1150000000000002</v>
      </c>
      <c r="E29" s="57"/>
      <c r="F29" s="57"/>
    </row>
    <row r="30" spans="1:6">
      <c r="A30" s="3">
        <v>26</v>
      </c>
      <c r="B30" s="3" t="s">
        <v>95</v>
      </c>
      <c r="C30" s="3" t="s">
        <v>24</v>
      </c>
      <c r="D30" s="3">
        <v>8.3740000000000006</v>
      </c>
      <c r="E30" s="57"/>
      <c r="F30" s="57"/>
    </row>
    <row r="31" spans="1:6">
      <c r="A31" s="3">
        <v>27</v>
      </c>
      <c r="B31" s="3" t="s">
        <v>96</v>
      </c>
      <c r="C31" s="3" t="s">
        <v>24</v>
      </c>
      <c r="D31" s="3">
        <v>9.8219999999999992</v>
      </c>
      <c r="E31" s="57"/>
      <c r="F31" s="57"/>
    </row>
    <row r="32" spans="1:6">
      <c r="A32" s="3">
        <v>29</v>
      </c>
      <c r="B32" s="3" t="s">
        <v>98</v>
      </c>
      <c r="C32" s="3" t="s">
        <v>24</v>
      </c>
      <c r="D32" s="3">
        <v>7.7610000000000001</v>
      </c>
      <c r="E32" s="57"/>
      <c r="F32" s="57"/>
    </row>
    <row r="33" spans="1:6">
      <c r="A33" s="3">
        <v>30</v>
      </c>
      <c r="B33" s="3" t="s">
        <v>99</v>
      </c>
      <c r="C33" s="3" t="s">
        <v>24</v>
      </c>
      <c r="D33" s="3">
        <v>8.5619999999999994</v>
      </c>
      <c r="E33" s="58"/>
      <c r="F33" s="58"/>
    </row>
  </sheetData>
  <autoFilter ref="A1:D1" xr:uid="{FD9A7B95-F124-4CE6-993C-88740F8340E7}">
    <sortState xmlns:xlrd2="http://schemas.microsoft.com/office/spreadsheetml/2017/richdata2" ref="A2:D33">
      <sortCondition ref="B1"/>
    </sortState>
  </autoFilter>
  <mergeCells count="2">
    <mergeCell ref="E2:E33"/>
    <mergeCell ref="F2:F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B4FE-0F92-4CD1-912B-07A5BE061025}">
  <dimension ref="A1:H33"/>
  <sheetViews>
    <sheetView workbookViewId="0">
      <selection activeCell="E2" sqref="E2:E33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117</v>
      </c>
      <c r="E1" s="4" t="s">
        <v>118</v>
      </c>
      <c r="F1" s="4" t="s">
        <v>119</v>
      </c>
    </row>
    <row r="2" spans="1:8">
      <c r="A2" s="3">
        <v>1</v>
      </c>
      <c r="B2" s="1" t="s">
        <v>120</v>
      </c>
      <c r="C2" s="3" t="s">
        <v>24</v>
      </c>
      <c r="D2" s="19">
        <v>6.9282032302755088</v>
      </c>
      <c r="E2" s="56">
        <f>AVERAGE(D2:D33)</f>
        <v>5.8736155582996306</v>
      </c>
      <c r="F2" s="56" t="s">
        <v>121</v>
      </c>
      <c r="G2" s="18"/>
      <c r="H2" s="18"/>
    </row>
    <row r="3" spans="1:8">
      <c r="A3" s="3">
        <v>2</v>
      </c>
      <c r="B3" s="1" t="s">
        <v>122</v>
      </c>
      <c r="C3" s="3" t="s">
        <v>24</v>
      </c>
      <c r="D3" s="19">
        <v>4.7434164902525691</v>
      </c>
      <c r="E3" s="57"/>
      <c r="F3" s="57"/>
      <c r="G3" s="18"/>
      <c r="H3" s="18"/>
    </row>
    <row r="4" spans="1:8">
      <c r="A4" s="3">
        <v>3</v>
      </c>
      <c r="B4" s="1" t="s">
        <v>123</v>
      </c>
      <c r="C4" s="3" t="s">
        <v>24</v>
      </c>
      <c r="D4" s="19">
        <v>5.4772255750516612</v>
      </c>
      <c r="E4" s="57"/>
      <c r="F4" s="57"/>
      <c r="G4" s="18"/>
      <c r="H4" s="18"/>
    </row>
    <row r="5" spans="1:8">
      <c r="A5" s="3">
        <v>4</v>
      </c>
      <c r="B5" s="1" t="s">
        <v>124</v>
      </c>
      <c r="C5" s="3" t="s">
        <v>24</v>
      </c>
      <c r="D5" s="19">
        <v>4.9749371855330997</v>
      </c>
      <c r="E5" s="57"/>
      <c r="F5" s="57"/>
      <c r="G5" s="18"/>
      <c r="H5" s="18"/>
    </row>
    <row r="6" spans="1:8">
      <c r="A6" s="3">
        <v>5</v>
      </c>
      <c r="B6" s="1" t="s">
        <v>125</v>
      </c>
      <c r="C6" s="3" t="s">
        <v>24</v>
      </c>
      <c r="D6" s="19">
        <v>5.4772255750516612</v>
      </c>
      <c r="E6" s="57"/>
      <c r="F6" s="57"/>
      <c r="G6" s="18"/>
      <c r="H6" s="18"/>
    </row>
    <row r="7" spans="1:8">
      <c r="A7" s="3">
        <v>6</v>
      </c>
      <c r="B7" s="1" t="s">
        <v>126</v>
      </c>
      <c r="C7" s="3" t="s">
        <v>24</v>
      </c>
      <c r="D7" s="19">
        <v>4.8989794855663558</v>
      </c>
      <c r="E7" s="57"/>
      <c r="F7" s="57"/>
      <c r="G7" s="18"/>
      <c r="H7" s="18"/>
    </row>
    <row r="8" spans="1:8">
      <c r="A8" s="3">
        <v>7</v>
      </c>
      <c r="B8" s="1" t="s">
        <v>127</v>
      </c>
      <c r="C8" s="3" t="s">
        <v>24</v>
      </c>
      <c r="D8" s="19">
        <v>5.9791303715506992</v>
      </c>
      <c r="E8" s="57"/>
      <c r="F8" s="57"/>
      <c r="G8" s="18"/>
      <c r="H8" s="18"/>
    </row>
    <row r="9" spans="1:8">
      <c r="A9" s="3">
        <v>8</v>
      </c>
      <c r="B9" s="1" t="s">
        <v>128</v>
      </c>
      <c r="C9" s="3" t="s">
        <v>24</v>
      </c>
      <c r="D9" s="19">
        <v>5.7445626465380286</v>
      </c>
      <c r="E9" s="57"/>
      <c r="F9" s="57"/>
      <c r="G9" s="18"/>
      <c r="H9" s="18"/>
    </row>
    <row r="10" spans="1:8">
      <c r="A10" s="3">
        <v>9</v>
      </c>
      <c r="B10" s="1" t="s">
        <v>129</v>
      </c>
      <c r="C10" s="3" t="s">
        <v>24</v>
      </c>
      <c r="D10" s="19">
        <v>5.4772255750516612</v>
      </c>
      <c r="E10" s="57"/>
      <c r="F10" s="57"/>
      <c r="G10" s="18"/>
      <c r="H10" s="18"/>
    </row>
    <row r="11" spans="1:8">
      <c r="A11" s="3">
        <v>10</v>
      </c>
      <c r="B11" s="1" t="s">
        <v>130</v>
      </c>
      <c r="C11" s="3" t="s">
        <v>24</v>
      </c>
      <c r="D11" s="19">
        <v>5</v>
      </c>
      <c r="E11" s="57"/>
      <c r="F11" s="57"/>
      <c r="G11" s="18"/>
      <c r="H11" s="18"/>
    </row>
    <row r="12" spans="1:8">
      <c r="A12" s="3">
        <v>11</v>
      </c>
      <c r="B12" s="1" t="s">
        <v>131</v>
      </c>
      <c r="C12" s="3" t="s">
        <v>24</v>
      </c>
      <c r="D12" s="19">
        <v>5.7445626465380286</v>
      </c>
      <c r="E12" s="57"/>
      <c r="F12" s="57"/>
      <c r="G12" s="18"/>
      <c r="H12" s="18"/>
    </row>
    <row r="13" spans="1:8">
      <c r="A13" s="3">
        <v>12</v>
      </c>
      <c r="B13" s="1" t="s">
        <v>132</v>
      </c>
      <c r="C13" s="3" t="s">
        <v>24</v>
      </c>
      <c r="D13" s="19">
        <v>5.9160797830996161</v>
      </c>
      <c r="E13" s="57"/>
      <c r="F13" s="57"/>
      <c r="G13" s="18"/>
      <c r="H13" s="18"/>
    </row>
    <row r="14" spans="1:8">
      <c r="A14" s="3">
        <v>13</v>
      </c>
      <c r="B14" s="1" t="s">
        <v>133</v>
      </c>
      <c r="C14" s="3" t="s">
        <v>24</v>
      </c>
      <c r="D14" s="19">
        <v>6.7453687816160208</v>
      </c>
      <c r="E14" s="57"/>
      <c r="F14" s="57"/>
      <c r="G14" s="18"/>
      <c r="H14" s="18"/>
    </row>
    <row r="15" spans="1:8">
      <c r="A15" s="3">
        <v>14</v>
      </c>
      <c r="B15" s="1" t="s">
        <v>134</v>
      </c>
      <c r="C15" s="3" t="s">
        <v>24</v>
      </c>
      <c r="D15" s="19">
        <v>5.7445626465380286</v>
      </c>
      <c r="E15" s="57"/>
      <c r="F15" s="57"/>
      <c r="G15" s="18"/>
      <c r="H15" s="18"/>
    </row>
    <row r="16" spans="1:8">
      <c r="A16" s="3">
        <v>15</v>
      </c>
      <c r="B16" s="2" t="s">
        <v>135</v>
      </c>
      <c r="C16" s="3" t="s">
        <v>24</v>
      </c>
      <c r="D16" s="19">
        <v>7.2111025509279782</v>
      </c>
      <c r="E16" s="57"/>
      <c r="F16" s="57"/>
    </row>
    <row r="17" spans="1:6">
      <c r="A17" s="3">
        <v>16</v>
      </c>
      <c r="B17" s="1" t="s">
        <v>136</v>
      </c>
      <c r="C17" s="3" t="s">
        <v>24</v>
      </c>
      <c r="D17" s="19">
        <v>6.7453687816160208</v>
      </c>
      <c r="E17" s="57"/>
      <c r="F17" s="57"/>
    </row>
    <row r="18" spans="1:6">
      <c r="A18" s="3">
        <v>17</v>
      </c>
      <c r="B18" s="1" t="s">
        <v>137</v>
      </c>
      <c r="C18" s="3" t="s">
        <v>24</v>
      </c>
      <c r="D18" s="19">
        <v>6.5192024052026492</v>
      </c>
      <c r="E18" s="57"/>
      <c r="F18" s="57"/>
    </row>
    <row r="19" spans="1:6">
      <c r="A19" s="3">
        <v>18</v>
      </c>
      <c r="B19" s="1" t="s">
        <v>138</v>
      </c>
      <c r="C19" s="3" t="s">
        <v>24</v>
      </c>
      <c r="D19" s="19">
        <v>5</v>
      </c>
      <c r="E19" s="57"/>
      <c r="F19" s="57"/>
    </row>
    <row r="20" spans="1:6">
      <c r="A20" s="3">
        <v>19</v>
      </c>
      <c r="B20" s="1" t="s">
        <v>139</v>
      </c>
      <c r="C20" s="3" t="s">
        <v>24</v>
      </c>
      <c r="D20" s="19">
        <v>6</v>
      </c>
      <c r="E20" s="57"/>
      <c r="F20" s="57"/>
    </row>
    <row r="21" spans="1:6">
      <c r="A21" s="3">
        <v>20</v>
      </c>
      <c r="B21" s="1" t="s">
        <v>140</v>
      </c>
      <c r="C21" s="3" t="s">
        <v>24</v>
      </c>
      <c r="D21" s="19">
        <v>6.7453687816160208</v>
      </c>
      <c r="E21" s="57"/>
      <c r="F21" s="57"/>
    </row>
    <row r="22" spans="1:6">
      <c r="A22" s="3">
        <v>21</v>
      </c>
      <c r="B22" s="1" t="s">
        <v>141</v>
      </c>
      <c r="C22" s="3" t="s">
        <v>24</v>
      </c>
      <c r="D22" s="19">
        <v>5.7445626465380286</v>
      </c>
      <c r="E22" s="57"/>
      <c r="F22" s="57"/>
    </row>
    <row r="23" spans="1:6">
      <c r="A23" s="3">
        <v>22</v>
      </c>
      <c r="B23" s="1" t="s">
        <v>142</v>
      </c>
      <c r="C23" s="3" t="s">
        <v>24</v>
      </c>
      <c r="D23" s="19">
        <v>5.7445626465380286</v>
      </c>
      <c r="E23" s="57"/>
      <c r="F23" s="57"/>
    </row>
    <row r="24" spans="1:6">
      <c r="A24" s="3">
        <v>23</v>
      </c>
      <c r="B24" s="1" t="s">
        <v>143</v>
      </c>
      <c r="C24" s="3" t="s">
        <v>24</v>
      </c>
      <c r="D24" s="19">
        <v>6</v>
      </c>
      <c r="E24" s="57"/>
      <c r="F24" s="57"/>
    </row>
    <row r="25" spans="1:6">
      <c r="A25" s="3">
        <v>24</v>
      </c>
      <c r="B25" s="1" t="s">
        <v>144</v>
      </c>
      <c r="C25" s="3" t="s">
        <v>24</v>
      </c>
      <c r="D25" s="19">
        <v>6.7082039324993694</v>
      </c>
      <c r="E25" s="57"/>
      <c r="F25" s="57"/>
    </row>
    <row r="26" spans="1:6">
      <c r="A26" s="3">
        <v>25</v>
      </c>
      <c r="B26" s="3" t="s">
        <v>145</v>
      </c>
      <c r="C26" s="3" t="s">
        <v>24</v>
      </c>
      <c r="D26" s="19">
        <v>6</v>
      </c>
      <c r="E26" s="57"/>
      <c r="F26" s="57"/>
    </row>
    <row r="27" spans="1:6">
      <c r="A27" s="3">
        <v>26</v>
      </c>
      <c r="B27" s="3" t="s">
        <v>146</v>
      </c>
      <c r="C27" s="3" t="s">
        <v>24</v>
      </c>
      <c r="D27" s="19">
        <v>5.2440442408507577</v>
      </c>
      <c r="E27" s="57"/>
      <c r="F27" s="57"/>
    </row>
    <row r="28" spans="1:6">
      <c r="A28" s="3">
        <v>27</v>
      </c>
      <c r="B28" s="3" t="s">
        <v>147</v>
      </c>
      <c r="C28" s="3" t="s">
        <v>24</v>
      </c>
      <c r="D28" s="19">
        <v>5.0990195135927836</v>
      </c>
      <c r="E28" s="57"/>
      <c r="F28" s="57"/>
    </row>
    <row r="29" spans="1:6">
      <c r="A29" s="3">
        <v>28</v>
      </c>
      <c r="B29" s="3" t="s">
        <v>148</v>
      </c>
      <c r="C29" s="3" t="s">
        <v>24</v>
      </c>
      <c r="D29" s="19">
        <v>6.2449979983983983</v>
      </c>
      <c r="E29" s="57"/>
      <c r="F29" s="57"/>
    </row>
    <row r="30" spans="1:6">
      <c r="A30" s="3">
        <v>29</v>
      </c>
      <c r="B30" s="3" t="s">
        <v>149</v>
      </c>
      <c r="C30" s="3" t="s">
        <v>24</v>
      </c>
      <c r="D30" s="19">
        <v>5.5</v>
      </c>
      <c r="E30" s="57"/>
      <c r="F30" s="57"/>
    </row>
    <row r="31" spans="1:6">
      <c r="A31" s="3">
        <v>30</v>
      </c>
      <c r="B31" s="3" t="s">
        <v>150</v>
      </c>
      <c r="C31" s="3" t="s">
        <v>24</v>
      </c>
      <c r="D31" s="19">
        <v>5.4772255750516612</v>
      </c>
      <c r="E31" s="57"/>
      <c r="F31" s="57"/>
    </row>
    <row r="32" spans="1:6">
      <c r="A32" s="3">
        <v>31</v>
      </c>
      <c r="B32" s="3" t="s">
        <v>151</v>
      </c>
      <c r="C32" s="3" t="s">
        <v>24</v>
      </c>
      <c r="D32" s="19">
        <v>7.1414284285428504</v>
      </c>
      <c r="E32" s="57"/>
      <c r="F32" s="57"/>
    </row>
    <row r="33" spans="1:6">
      <c r="A33" s="3">
        <v>32</v>
      </c>
      <c r="B33" s="3" t="s">
        <v>152</v>
      </c>
      <c r="C33" s="3" t="s">
        <v>24</v>
      </c>
      <c r="D33" s="19">
        <v>5.9791303715506992</v>
      </c>
      <c r="E33" s="58"/>
      <c r="F33" s="58"/>
    </row>
  </sheetData>
  <autoFilter ref="A1:D1" xr:uid="{F294EAD7-2207-4EA2-A633-F6E085B1F34F}">
    <sortState xmlns:xlrd2="http://schemas.microsoft.com/office/spreadsheetml/2017/richdata2" ref="A2:D25">
      <sortCondition ref="B1"/>
    </sortState>
  </autoFilter>
  <mergeCells count="2">
    <mergeCell ref="E2:E33"/>
    <mergeCell ref="F2:F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BC64-1D65-49F1-8233-71AD2D38D436}">
  <dimension ref="A1:H33"/>
  <sheetViews>
    <sheetView workbookViewId="0">
      <selection activeCell="C10" sqref="C10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153</v>
      </c>
      <c r="E1" s="4" t="s">
        <v>154</v>
      </c>
      <c r="F1" s="4" t="s">
        <v>155</v>
      </c>
    </row>
    <row r="2" spans="1:8">
      <c r="A2" s="3">
        <v>1</v>
      </c>
      <c r="B2" s="1" t="s">
        <v>70</v>
      </c>
      <c r="C2" s="3" t="s">
        <v>24</v>
      </c>
      <c r="D2" s="22">
        <v>8.125</v>
      </c>
      <c r="E2" s="59">
        <f>AVERAGE(D2:D33)</f>
        <v>7.50390625</v>
      </c>
      <c r="F2" s="59" t="s">
        <v>156</v>
      </c>
      <c r="G2" s="18"/>
      <c r="H2" s="18"/>
    </row>
    <row r="3" spans="1:8">
      <c r="A3" s="3">
        <v>2</v>
      </c>
      <c r="B3" s="1" t="s">
        <v>71</v>
      </c>
      <c r="C3" s="3" t="s">
        <v>24</v>
      </c>
      <c r="D3" s="22">
        <v>7.125</v>
      </c>
      <c r="E3" s="59"/>
      <c r="F3" s="59"/>
      <c r="G3" s="18"/>
      <c r="H3" s="18"/>
    </row>
    <row r="4" spans="1:8">
      <c r="A4" s="3">
        <v>3</v>
      </c>
      <c r="B4" s="1" t="s">
        <v>72</v>
      </c>
      <c r="C4" s="3" t="s">
        <v>24</v>
      </c>
      <c r="D4" s="22">
        <v>7.625</v>
      </c>
      <c r="E4" s="59"/>
      <c r="F4" s="59"/>
      <c r="G4" s="18"/>
      <c r="H4" s="18"/>
    </row>
    <row r="5" spans="1:8">
      <c r="A5" s="3">
        <v>4</v>
      </c>
      <c r="B5" s="1" t="s">
        <v>112</v>
      </c>
      <c r="C5" s="3" t="s">
        <v>24</v>
      </c>
      <c r="D5" s="22">
        <v>7.125</v>
      </c>
      <c r="E5" s="59"/>
      <c r="F5" s="59"/>
      <c r="G5" s="18"/>
      <c r="H5" s="18"/>
    </row>
    <row r="6" spans="1:8">
      <c r="A6" s="3">
        <v>5</v>
      </c>
      <c r="B6" s="1" t="s">
        <v>113</v>
      </c>
      <c r="C6" s="3" t="s">
        <v>24</v>
      </c>
      <c r="D6" s="22">
        <v>7.125</v>
      </c>
      <c r="E6" s="59"/>
      <c r="F6" s="59"/>
      <c r="G6" s="18"/>
      <c r="H6" s="18"/>
    </row>
    <row r="7" spans="1:8">
      <c r="A7" s="3">
        <v>6</v>
      </c>
      <c r="B7" s="1" t="s">
        <v>75</v>
      </c>
      <c r="C7" s="3" t="s">
        <v>24</v>
      </c>
      <c r="D7" s="22">
        <v>7.875</v>
      </c>
      <c r="E7" s="59"/>
      <c r="F7" s="59"/>
      <c r="G7" s="18"/>
      <c r="H7" s="18"/>
    </row>
    <row r="8" spans="1:8">
      <c r="A8" s="3">
        <v>7</v>
      </c>
      <c r="B8" s="1" t="s">
        <v>76</v>
      </c>
      <c r="C8" s="3" t="s">
        <v>24</v>
      </c>
      <c r="D8" s="22">
        <v>7.125</v>
      </c>
      <c r="E8" s="59"/>
      <c r="F8" s="59"/>
      <c r="G8" s="18"/>
      <c r="H8" s="18"/>
    </row>
    <row r="9" spans="1:8">
      <c r="A9" s="3">
        <v>8</v>
      </c>
      <c r="B9" s="1" t="s">
        <v>77</v>
      </c>
      <c r="C9" s="3" t="s">
        <v>24</v>
      </c>
      <c r="D9" s="22">
        <v>7.125</v>
      </c>
      <c r="E9" s="59"/>
      <c r="F9" s="59"/>
      <c r="G9" s="18"/>
      <c r="H9" s="18"/>
    </row>
    <row r="10" spans="1:8">
      <c r="A10" s="3">
        <v>9</v>
      </c>
      <c r="B10" s="1" t="s">
        <v>78</v>
      </c>
      <c r="C10" s="3" t="s">
        <v>24</v>
      </c>
      <c r="D10" s="22">
        <v>7.625</v>
      </c>
      <c r="E10" s="59"/>
      <c r="F10" s="59"/>
      <c r="G10" s="18"/>
      <c r="H10" s="18"/>
    </row>
    <row r="11" spans="1:8">
      <c r="A11" s="3">
        <v>10</v>
      </c>
      <c r="B11" s="1" t="s">
        <v>79</v>
      </c>
      <c r="C11" s="3" t="s">
        <v>24</v>
      </c>
      <c r="D11" s="22">
        <v>7.625</v>
      </c>
      <c r="E11" s="59"/>
      <c r="F11" s="59"/>
      <c r="G11" s="18"/>
      <c r="H11" s="18"/>
    </row>
    <row r="12" spans="1:8">
      <c r="A12" s="3">
        <v>11</v>
      </c>
      <c r="B12" s="1" t="s">
        <v>80</v>
      </c>
      <c r="C12" s="3" t="s">
        <v>24</v>
      </c>
      <c r="D12" s="22">
        <v>8.125</v>
      </c>
      <c r="E12" s="59"/>
      <c r="F12" s="59"/>
      <c r="G12" s="18"/>
      <c r="H12" s="18"/>
    </row>
    <row r="13" spans="1:8">
      <c r="A13" s="3">
        <v>12</v>
      </c>
      <c r="B13" s="1" t="s">
        <v>81</v>
      </c>
      <c r="C13" s="3" t="s">
        <v>24</v>
      </c>
      <c r="D13" s="22">
        <v>7.125</v>
      </c>
      <c r="E13" s="59"/>
      <c r="F13" s="59"/>
      <c r="G13" s="18"/>
      <c r="H13" s="18"/>
    </row>
    <row r="14" spans="1:8">
      <c r="A14" s="3">
        <v>13</v>
      </c>
      <c r="B14" s="1" t="s">
        <v>114</v>
      </c>
      <c r="C14" s="3" t="s">
        <v>24</v>
      </c>
      <c r="D14" s="22">
        <v>7.625</v>
      </c>
      <c r="E14" s="59"/>
      <c r="F14" s="59"/>
      <c r="G14" s="18"/>
      <c r="H14" s="18"/>
    </row>
    <row r="15" spans="1:8">
      <c r="A15" s="3">
        <v>14</v>
      </c>
      <c r="B15" s="1" t="s">
        <v>115</v>
      </c>
      <c r="C15" s="3" t="s">
        <v>24</v>
      </c>
      <c r="D15" s="22">
        <v>7.125</v>
      </c>
      <c r="E15" s="59"/>
      <c r="F15" s="59"/>
      <c r="G15" s="18"/>
      <c r="H15" s="18"/>
    </row>
    <row r="16" spans="1:8">
      <c r="A16" s="3">
        <v>15</v>
      </c>
      <c r="B16" s="2" t="s">
        <v>84</v>
      </c>
      <c r="C16" s="3" t="s">
        <v>24</v>
      </c>
      <c r="D16" s="3">
        <v>7.625</v>
      </c>
      <c r="E16" s="59"/>
      <c r="F16" s="59"/>
    </row>
    <row r="17" spans="1:6">
      <c r="A17" s="3">
        <v>16</v>
      </c>
      <c r="B17" s="1" t="s">
        <v>85</v>
      </c>
      <c r="C17" s="3" t="s">
        <v>24</v>
      </c>
      <c r="D17" s="3">
        <v>7.625</v>
      </c>
      <c r="E17" s="59"/>
      <c r="F17" s="59"/>
    </row>
    <row r="18" spans="1:6">
      <c r="A18" s="3">
        <v>17</v>
      </c>
      <c r="B18" s="1" t="s">
        <v>116</v>
      </c>
      <c r="C18" s="3" t="s">
        <v>24</v>
      </c>
      <c r="D18" s="3">
        <v>8.5</v>
      </c>
      <c r="E18" s="59"/>
      <c r="F18" s="59"/>
    </row>
    <row r="19" spans="1:6">
      <c r="A19" s="3">
        <v>18</v>
      </c>
      <c r="B19" s="1" t="s">
        <v>87</v>
      </c>
      <c r="C19" s="3" t="s">
        <v>24</v>
      </c>
      <c r="D19" s="3">
        <v>7.125</v>
      </c>
      <c r="E19" s="59"/>
      <c r="F19" s="59"/>
    </row>
    <row r="20" spans="1:6">
      <c r="A20" s="3">
        <v>19</v>
      </c>
      <c r="B20" s="1" t="s">
        <v>88</v>
      </c>
      <c r="C20" s="3" t="s">
        <v>24</v>
      </c>
      <c r="D20" s="3">
        <v>7.125</v>
      </c>
      <c r="E20" s="59"/>
      <c r="F20" s="59"/>
    </row>
    <row r="21" spans="1:6">
      <c r="A21" s="3">
        <v>20</v>
      </c>
      <c r="B21" s="1" t="s">
        <v>89</v>
      </c>
      <c r="C21" s="3" t="s">
        <v>24</v>
      </c>
      <c r="D21" s="3">
        <v>8.125</v>
      </c>
      <c r="E21" s="59"/>
      <c r="F21" s="59"/>
    </row>
    <row r="22" spans="1:6">
      <c r="A22" s="3">
        <v>21</v>
      </c>
      <c r="B22" s="1" t="s">
        <v>90</v>
      </c>
      <c r="C22" s="3" t="s">
        <v>24</v>
      </c>
      <c r="D22" s="3">
        <v>7.125</v>
      </c>
      <c r="E22" s="59"/>
      <c r="F22" s="59"/>
    </row>
    <row r="23" spans="1:6">
      <c r="A23" s="3">
        <v>22</v>
      </c>
      <c r="B23" s="1" t="s">
        <v>91</v>
      </c>
      <c r="C23" s="3" t="s">
        <v>24</v>
      </c>
      <c r="D23" s="3">
        <v>8.125</v>
      </c>
      <c r="E23" s="59"/>
      <c r="F23" s="59"/>
    </row>
    <row r="24" spans="1:6">
      <c r="A24" s="3">
        <v>23</v>
      </c>
      <c r="B24" s="1" t="s">
        <v>92</v>
      </c>
      <c r="C24" s="3" t="s">
        <v>24</v>
      </c>
      <c r="D24" s="3">
        <v>7.125</v>
      </c>
      <c r="E24" s="59"/>
      <c r="F24" s="59"/>
    </row>
    <row r="25" spans="1:6">
      <c r="A25" s="3">
        <v>24</v>
      </c>
      <c r="B25" s="1" t="s">
        <v>93</v>
      </c>
      <c r="C25" s="3" t="s">
        <v>24</v>
      </c>
      <c r="D25" s="3">
        <v>7.625</v>
      </c>
      <c r="E25" s="59"/>
      <c r="F25" s="59"/>
    </row>
    <row r="26" spans="1:6">
      <c r="A26" s="3">
        <v>25</v>
      </c>
      <c r="B26" s="3" t="s">
        <v>94</v>
      </c>
      <c r="C26" s="3" t="s">
        <v>24</v>
      </c>
      <c r="D26" s="3">
        <v>7.125</v>
      </c>
      <c r="E26" s="59"/>
      <c r="F26" s="59"/>
    </row>
    <row r="27" spans="1:6">
      <c r="A27" s="3">
        <v>26</v>
      </c>
      <c r="B27" s="3" t="s">
        <v>95</v>
      </c>
      <c r="C27" s="3" t="s">
        <v>24</v>
      </c>
      <c r="D27" s="3">
        <v>7.125</v>
      </c>
      <c r="E27" s="59"/>
      <c r="F27" s="59"/>
    </row>
    <row r="28" spans="1:6">
      <c r="A28" s="3">
        <v>27</v>
      </c>
      <c r="B28" s="3" t="s">
        <v>96</v>
      </c>
      <c r="C28" s="3" t="s">
        <v>24</v>
      </c>
      <c r="D28" s="3">
        <v>7.125</v>
      </c>
      <c r="E28" s="59"/>
      <c r="F28" s="59"/>
    </row>
    <row r="29" spans="1:6">
      <c r="A29" s="3">
        <v>28</v>
      </c>
      <c r="B29" s="3" t="s">
        <v>97</v>
      </c>
      <c r="C29" s="3" t="s">
        <v>24</v>
      </c>
      <c r="D29" s="3">
        <v>7.625</v>
      </c>
      <c r="E29" s="59"/>
      <c r="F29" s="59"/>
    </row>
    <row r="30" spans="1:6">
      <c r="A30" s="3">
        <v>29</v>
      </c>
      <c r="B30" s="3" t="s">
        <v>98</v>
      </c>
      <c r="C30" s="3" t="s">
        <v>24</v>
      </c>
      <c r="D30" s="3">
        <v>7.625</v>
      </c>
      <c r="E30" s="59"/>
      <c r="F30" s="59"/>
    </row>
    <row r="31" spans="1:6">
      <c r="A31" s="3">
        <v>30</v>
      </c>
      <c r="B31" s="3" t="s">
        <v>99</v>
      </c>
      <c r="C31" s="3" t="s">
        <v>24</v>
      </c>
      <c r="D31" s="3">
        <v>7.125</v>
      </c>
      <c r="E31" s="59"/>
      <c r="F31" s="59"/>
    </row>
    <row r="32" spans="1:6">
      <c r="A32" s="3">
        <v>31</v>
      </c>
      <c r="B32" s="3" t="s">
        <v>100</v>
      </c>
      <c r="C32" s="3" t="s">
        <v>24</v>
      </c>
      <c r="D32" s="3">
        <v>8.125</v>
      </c>
      <c r="E32" s="59"/>
      <c r="F32" s="59"/>
    </row>
    <row r="33" spans="1:6">
      <c r="A33" s="3">
        <v>32</v>
      </c>
      <c r="B33" s="3" t="s">
        <v>101</v>
      </c>
      <c r="C33" s="3" t="s">
        <v>24</v>
      </c>
      <c r="D33" s="3">
        <v>7.625</v>
      </c>
      <c r="E33" s="59"/>
      <c r="F33" s="59"/>
    </row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2">
    <mergeCell ref="E2:E33"/>
    <mergeCell ref="F2:F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FCCC-14A9-48C1-AC70-0A4DA2290CBB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62" t="s">
        <v>157</v>
      </c>
      <c r="B2" s="62" t="s">
        <v>158</v>
      </c>
      <c r="C2" s="63" t="s">
        <v>24</v>
      </c>
      <c r="D2" s="63"/>
      <c r="E2" s="63"/>
    </row>
    <row r="3" spans="1:12">
      <c r="A3" s="62"/>
      <c r="B3" s="62"/>
      <c r="C3" s="30" t="s">
        <v>159</v>
      </c>
      <c r="D3" s="30" t="s">
        <v>160</v>
      </c>
      <c r="E3" s="30" t="s">
        <v>161</v>
      </c>
    </row>
    <row r="4" spans="1:12">
      <c r="A4" s="31">
        <v>1</v>
      </c>
      <c r="B4" s="32" t="s">
        <v>162</v>
      </c>
      <c r="C4" s="33">
        <f>IFERROR(COUNTIFS(STR!$V:$V, Overview!C$2, STR!$X:$X, "TRUE")/COUNTIFS(STR!$V:$V, Overview!C2), 0)</f>
        <v>0.66129032258064513</v>
      </c>
      <c r="D4" s="34">
        <v>0.15</v>
      </c>
      <c r="E4" s="33">
        <f>D4*C4</f>
        <v>9.9193548387096764E-2</v>
      </c>
    </row>
    <row r="5" spans="1:12">
      <c r="A5" s="31">
        <v>2</v>
      </c>
      <c r="B5" s="32" t="s">
        <v>163</v>
      </c>
      <c r="C5" s="33">
        <f>1-AVERAGEIF('Bad Data'!$C:$C, Overview!C$2, 'Bad Data'!$D:$D)</f>
        <v>0.99903656249999995</v>
      </c>
      <c r="D5" s="34">
        <v>0.1</v>
      </c>
      <c r="E5" s="33">
        <f t="shared" ref="E5:E14" si="0">D5*C5</f>
        <v>9.990365625E-2</v>
      </c>
    </row>
    <row r="6" spans="1:12">
      <c r="A6" s="31">
        <v>3</v>
      </c>
      <c r="B6" s="32" t="s">
        <v>164</v>
      </c>
      <c r="C6" s="33">
        <f>AVERAGEIF('Pengkinian Data'!$C:$C, Overview!C$2, 'Pengkinian Data'!$D:$D)</f>
        <v>0.99999062500000002</v>
      </c>
      <c r="D6" s="34">
        <v>0.1</v>
      </c>
      <c r="E6" s="33">
        <f t="shared" si="0"/>
        <v>9.9999062500000013E-2</v>
      </c>
      <c r="L6" t="s">
        <v>25</v>
      </c>
    </row>
    <row r="7" spans="1:12">
      <c r="A7" s="31">
        <v>4</v>
      </c>
      <c r="B7" s="32" t="s">
        <v>165</v>
      </c>
      <c r="C7" s="33" cm="1">
        <f t="array" ref="C7">IFERROR(SUMPRODUCT(--('[3]Uji Petik'!$E$3:$E$73&lt;&gt;""), --('[3]Uji Petik'!$C$3:$C$73=C2)) / SUMPRODUCT(--('[3]Uji Petik'!$C$3:$C$73=C2)), 0)</f>
        <v>0</v>
      </c>
      <c r="D7" s="34">
        <v>0</v>
      </c>
      <c r="E7" s="33">
        <f t="shared" si="0"/>
        <v>0</v>
      </c>
    </row>
    <row r="8" spans="1:12">
      <c r="A8" s="31">
        <v>5</v>
      </c>
      <c r="B8" s="32" t="s">
        <v>166</v>
      </c>
      <c r="C8" s="35" cm="1">
        <f t="array" ref="C8">IFERROR(AVERAGE(IF([1]Sosialisasi!$C$1:$C$10000=C2, [1]Sosialisasi!$D$1:$D$10000)), 0)</f>
        <v>0</v>
      </c>
      <c r="D8" s="34">
        <v>0.15</v>
      </c>
      <c r="E8" s="33">
        <f t="shared" si="0"/>
        <v>0</v>
      </c>
    </row>
    <row r="9" spans="1:12">
      <c r="A9" s="31">
        <v>6</v>
      </c>
      <c r="B9" s="32" t="s">
        <v>167</v>
      </c>
      <c r="C9" s="33">
        <f>AVERAGEIF('EDD PEP PPATK'!$C:$C, Overview!C$2, 'EDD PEP PPATK'!$D:$D)</f>
        <v>0.96460274324339823</v>
      </c>
      <c r="D9" s="34">
        <v>0.1</v>
      </c>
      <c r="E9" s="33">
        <f t="shared" si="0"/>
        <v>9.6460274324339831E-2</v>
      </c>
    </row>
    <row r="10" spans="1:12">
      <c r="A10" s="31">
        <v>7</v>
      </c>
      <c r="B10" s="32" t="s">
        <v>168</v>
      </c>
      <c r="C10" s="33" cm="1">
        <f t="array" ref="C10">IF(IFERROR(AVERAGE(IF('[1]Sheet2 (2)'!$C$1:$C$10000=C$2, '[1]Sheet2 (2)'!$D$1:$D$10000)), 0)&gt;0.9, 1, IFERROR(AVERAGE(IF('[1]Sheet2 (2)'!$C$1:$C$10000=C$2, '[1]Sheet2 (2)'!$D$1:$D$10000)), 0))</f>
        <v>0.77705894337473258</v>
      </c>
      <c r="D10" s="34">
        <v>0.05</v>
      </c>
      <c r="E10" s="33">
        <f t="shared" si="0"/>
        <v>3.8852947168736635E-2</v>
      </c>
    </row>
    <row r="11" spans="1:12">
      <c r="A11" s="31">
        <v>8</v>
      </c>
      <c r="B11" s="32" t="s">
        <v>169</v>
      </c>
      <c r="C11" s="33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4">
        <v>0.05</v>
      </c>
      <c r="E11" s="33">
        <f t="shared" si="0"/>
        <v>0.05</v>
      </c>
    </row>
    <row r="12" spans="1:12">
      <c r="A12" s="31">
        <v>9</v>
      </c>
      <c r="B12" s="32" t="s">
        <v>170</v>
      </c>
      <c r="C12" s="33">
        <f>IF(AVERAGEIF('Nilai Maturitas'!$C:$C, Overview!C2, 'Nilai Maturitas'!$D:$D) &gt; 8, 110%, AVERAGEIF('Nilai Maturitas'!$C:$C, Overview!C2, 'Nilai Maturitas'!$D:$D)/8*100%)</f>
        <v>1.1000000000000001</v>
      </c>
      <c r="D12" s="34">
        <v>0.1</v>
      </c>
      <c r="E12" s="33">
        <f t="shared" si="0"/>
        <v>0.11000000000000001</v>
      </c>
    </row>
    <row r="13" spans="1:12">
      <c r="A13" s="31">
        <v>10</v>
      </c>
      <c r="B13" s="32" t="s">
        <v>171</v>
      </c>
      <c r="C13" s="33">
        <f>IF(AVERAGEIF('Maturitas Dashboard'!$C:$C, Overview!C$2, 'Maturitas Dashboard'!$D:$D) &gt; 8, 110%, AVERAGEIF('Maturitas Dashboard'!$C:$C, Overview!C$2, 'Maturitas Dashboard'!$D:$D)/8*100%)</f>
        <v>0.93798828125</v>
      </c>
      <c r="D13" s="34">
        <v>0.1</v>
      </c>
      <c r="E13" s="33">
        <f t="shared" si="0"/>
        <v>9.3798828125000011E-2</v>
      </c>
    </row>
    <row r="14" spans="1:12">
      <c r="A14" s="36">
        <v>11</v>
      </c>
      <c r="B14" s="37" t="s">
        <v>172</v>
      </c>
      <c r="C14" s="38">
        <f>IF(AVERAGEIF('Penilaian Resiko'!$C:$C, Overview!C$2, 'Penilaian Resiko'!$D:$D) &lt; 5.8, 110%, IF(AVERAGEIF('Penilaian Resiko'!$C:$C, Overview!C$2, 'Penilaian Resiko'!$D:$D) &lt;7.4, 3/4*100%, 3/5*100%))</f>
        <v>0.75</v>
      </c>
      <c r="D14" s="39">
        <v>0.1</v>
      </c>
      <c r="E14" s="38">
        <f t="shared" si="0"/>
        <v>7.5000000000000011E-2</v>
      </c>
    </row>
    <row r="15" spans="1:12">
      <c r="A15" s="40"/>
      <c r="B15" s="40"/>
      <c r="C15" s="60" t="s">
        <v>173</v>
      </c>
      <c r="D15" s="61"/>
      <c r="E15" s="41">
        <f>SUM(E4:E14)</f>
        <v>0.76320831675517331</v>
      </c>
    </row>
  </sheetData>
  <mergeCells count="4">
    <mergeCell ref="C15:D15"/>
    <mergeCell ref="A2:A3"/>
    <mergeCell ref="B2:B3"/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2598-779A-44D5-867D-524C04A48FF9}">
  <dimension ref="A2:L15"/>
  <sheetViews>
    <sheetView tabSelected="1"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62" t="s">
        <v>157</v>
      </c>
      <c r="B2" s="62" t="s">
        <v>158</v>
      </c>
      <c r="C2" s="63" t="s">
        <v>24</v>
      </c>
      <c r="D2" s="63"/>
      <c r="E2" s="63"/>
    </row>
    <row r="3" spans="1:12">
      <c r="A3" s="62"/>
      <c r="B3" s="62"/>
      <c r="C3" s="30" t="s">
        <v>159</v>
      </c>
      <c r="D3" s="30" t="s">
        <v>160</v>
      </c>
      <c r="E3" s="30" t="s">
        <v>161</v>
      </c>
    </row>
    <row r="4" spans="1:12">
      <c r="A4" s="31">
        <v>1</v>
      </c>
      <c r="B4" s="32" t="s">
        <v>162</v>
      </c>
      <c r="C4" s="33">
        <f>IFERROR(COUNTIFS(STR!$V:$V, 'Overview tanpa KPI'!C$2, STR!$X:$X, "TRUE")/COUNTIFS(STR!$V:$V, 'Overview tanpa KPI'!C2), 0)</f>
        <v>0.66129032258064513</v>
      </c>
      <c r="D4" s="34">
        <v>0.15</v>
      </c>
      <c r="E4" s="33">
        <f>D4*C4</f>
        <v>9.9193548387096764E-2</v>
      </c>
    </row>
    <row r="5" spans="1:12">
      <c r="A5" s="31">
        <v>2</v>
      </c>
      <c r="B5" s="32" t="s">
        <v>163</v>
      </c>
      <c r="C5" s="33">
        <f>1-AVERAGEIF('Bad Data'!$C:$C, 'Overview tanpa KPI'!C$2, 'Bad Data'!$D:$D)</f>
        <v>0.99903656249999995</v>
      </c>
      <c r="D5" s="34">
        <v>0.1</v>
      </c>
      <c r="E5" s="33">
        <f t="shared" ref="E5:E14" si="0">D5*C5</f>
        <v>9.990365625E-2</v>
      </c>
    </row>
    <row r="6" spans="1:12">
      <c r="A6" s="31">
        <v>3</v>
      </c>
      <c r="B6" s="32" t="s">
        <v>164</v>
      </c>
      <c r="C6" s="33">
        <f>AVERAGEIF('Pengkinian Data'!$C:$C, 'Overview tanpa KPI'!C$2, 'Pengkinian Data'!$D:$D)</f>
        <v>0.99999062500000002</v>
      </c>
      <c r="D6" s="34">
        <v>0.1</v>
      </c>
      <c r="E6" s="33">
        <f t="shared" si="0"/>
        <v>9.9999062500000013E-2</v>
      </c>
      <c r="L6" t="s">
        <v>25</v>
      </c>
    </row>
    <row r="7" spans="1:12">
      <c r="A7" s="31">
        <v>4</v>
      </c>
      <c r="B7" s="32" t="s">
        <v>165</v>
      </c>
      <c r="C7" s="33" cm="1">
        <f t="array" ref="C7">IFERROR(SUMPRODUCT(--('[3]Uji Petik'!$E$3:$E$73&lt;&gt;""), --('[3]Uji Petik'!$C$3:$C$73=C2)) / SUMPRODUCT(--('[3]Uji Petik'!$C$3:$C$73=C2)), 0)</f>
        <v>0</v>
      </c>
      <c r="D7" s="34">
        <v>0</v>
      </c>
      <c r="E7" s="33">
        <f t="shared" si="0"/>
        <v>0</v>
      </c>
    </row>
    <row r="8" spans="1:12">
      <c r="A8" s="31">
        <v>5</v>
      </c>
      <c r="B8" s="32" t="s">
        <v>166</v>
      </c>
      <c r="C8" s="35" cm="1">
        <f t="array" ref="C8">IFERROR(AVERAGE(IF([1]Sosialisasi!$C$1:$C$10000=C2, [1]Sosialisasi!$D$1:$D$10000)), 0)</f>
        <v>0</v>
      </c>
      <c r="D8" s="34">
        <v>0.15</v>
      </c>
      <c r="E8" s="33">
        <f t="shared" si="0"/>
        <v>0</v>
      </c>
    </row>
    <row r="9" spans="1:12">
      <c r="A9" s="31">
        <v>6</v>
      </c>
      <c r="B9" s="32" t="s">
        <v>167</v>
      </c>
      <c r="C9" s="33">
        <f>AVERAGEIF('EDD PEP PPATK'!$C:$C, 'Overview tanpa KPI'!C$2, 'EDD PEP PPATK'!$D:$D)</f>
        <v>0.96460274324339823</v>
      </c>
      <c r="D9" s="34">
        <v>0.1</v>
      </c>
      <c r="E9" s="33">
        <f t="shared" si="0"/>
        <v>9.6460274324339831E-2</v>
      </c>
    </row>
    <row r="10" spans="1:12">
      <c r="A10" s="31">
        <v>7</v>
      </c>
      <c r="B10" s="32" t="s">
        <v>168</v>
      </c>
      <c r="C10" s="33" cm="1">
        <f t="array" ref="C10">IFERROR(AVERAGE(IF('[1]Sheet2 (2)'!$C$1:$C$10000=C$2, '[1]Sheet2 (2)'!$D$1:$D$10000)), 0)</f>
        <v>0.77705894337473258</v>
      </c>
      <c r="D10" s="34">
        <v>0.05</v>
      </c>
      <c r="E10" s="33">
        <f t="shared" si="0"/>
        <v>3.8852947168736635E-2</v>
      </c>
    </row>
    <row r="11" spans="1:12">
      <c r="A11" s="31">
        <v>8</v>
      </c>
      <c r="B11" s="32" t="s">
        <v>169</v>
      </c>
      <c r="C11" s="33" cm="1">
        <f t="array" ref="C11">IFERROR(AVERAGE(IF('[1]Sheet2 (3)'!$C$1:$C$10000=C2, '[1]Sheet2 (3)'!$D$1:$D$10000)), 0)</f>
        <v>95.026374999999987</v>
      </c>
      <c r="D11" s="34">
        <v>0.05</v>
      </c>
      <c r="E11" s="33">
        <f t="shared" si="0"/>
        <v>4.7513187499999994</v>
      </c>
    </row>
    <row r="12" spans="1:12">
      <c r="A12" s="31">
        <v>9</v>
      </c>
      <c r="B12" s="32" t="s">
        <v>170</v>
      </c>
      <c r="C12" s="33">
        <f>AVERAGEIF('Nilai Maturitas'!$C:$C, 'Overview tanpa KPI'!C2, 'Nilai Maturitas'!$D:$D)</f>
        <v>8.3360937500000016</v>
      </c>
      <c r="D12" s="34">
        <v>0.1</v>
      </c>
      <c r="E12" s="33">
        <f t="shared" si="0"/>
        <v>0.83360937500000021</v>
      </c>
    </row>
    <row r="13" spans="1:12">
      <c r="A13" s="31">
        <v>10</v>
      </c>
      <c r="B13" s="32" t="s">
        <v>171</v>
      </c>
      <c r="C13" s="33">
        <f>AVERAGEIF('Maturitas Dashboard'!$C:$C, 'Overview tanpa KPI'!C$2, 'Maturitas Dashboard'!$D:$D)</f>
        <v>7.50390625</v>
      </c>
      <c r="D13" s="34">
        <v>0.1</v>
      </c>
      <c r="E13" s="33">
        <f t="shared" si="0"/>
        <v>0.75039062500000009</v>
      </c>
    </row>
    <row r="14" spans="1:12">
      <c r="A14" s="36">
        <v>11</v>
      </c>
      <c r="B14" s="37" t="s">
        <v>172</v>
      </c>
      <c r="C14" s="38">
        <f>AVERAGEIF('Penilaian Resiko'!$C:$C, 'Overview tanpa KPI'!C$2, 'Penilaian Resiko'!$D:$D)</f>
        <v>5.8736155582996306</v>
      </c>
      <c r="D14" s="39">
        <v>0.1</v>
      </c>
      <c r="E14" s="38">
        <f t="shared" si="0"/>
        <v>0.58736155582996308</v>
      </c>
    </row>
    <row r="15" spans="1:12">
      <c r="A15" s="40"/>
      <c r="B15" s="40"/>
      <c r="C15" s="60" t="s">
        <v>173</v>
      </c>
      <c r="D15" s="61"/>
      <c r="E15" s="41">
        <f>SUM(E4:E14)</f>
        <v>7.3570897944601352</v>
      </c>
    </row>
  </sheetData>
  <mergeCells count="4">
    <mergeCell ref="A2:A3"/>
    <mergeCell ref="B2:B3"/>
    <mergeCell ref="C2:E2"/>
    <mergeCell ref="C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2026-09-29T02:41:40Z</dcterms:modified>
  <cp:category/>
  <cp:contentStatus/>
</cp:coreProperties>
</file>