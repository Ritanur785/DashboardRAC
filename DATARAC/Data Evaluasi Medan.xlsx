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878" documentId="8_{041D5239-1478-4442-A7FD-D6BAD4465E07}" xr6:coauthVersionLast="47" xr6:coauthVersionMax="47" xr10:uidLastSave="{16EEF011-2245-44D4-AEF6-5B62B3CFB14E}"/>
  <bookViews>
    <workbookView xWindow="-108" yWindow="-108" windowWidth="23256" windowHeight="12456" firstSheet="11" activeTab="11" xr2:uid="{28B6D053-1D7F-4EEF-8978-633F77751EF4}"/>
  </bookViews>
  <sheets>
    <sheet name="STR" sheetId="5" r:id="rId1"/>
    <sheet name="EDD PEP PPATK" sheetId="1" r:id="rId2"/>
    <sheet name="Bad Data" sheetId="6" r:id="rId3"/>
    <sheet name="Pengkinian Data" sheetId="2" r:id="rId4"/>
    <sheet name="Sosialisasi" sheetId="3" state="hidden" r:id="rId5"/>
    <sheet name="Uji Petik" sheetId="4" r:id="rId6"/>
    <sheet name="Nilai Maturitas" sheetId="7" r:id="rId7"/>
    <sheet name="Penilaian Resiko" sheetId="8" r:id="rId8"/>
    <sheet name="Maturitas Dashboard" sheetId="9" r:id="rId9"/>
    <sheet name="Overview" sheetId="10" r:id="rId10"/>
    <sheet name="Overview tanpa KPI" sheetId="11" r:id="rId11"/>
    <sheet name="Overview KPI" sheetId="12" r:id="rId12"/>
  </sheets>
  <externalReferences>
    <externalReference r:id="rId13"/>
    <externalReference r:id="rId14"/>
    <externalReference r:id="rId15"/>
    <externalReference r:id="rId16"/>
  </externalReferences>
  <definedNames>
    <definedName name="_xlnm._FilterDatabase" localSheetId="2" hidden="1">'Bad Data'!$B$2:$D$2</definedName>
    <definedName name="_xlnm._FilterDatabase" localSheetId="1" hidden="1">'EDD PEP PPATK'!$B$2:$D$2</definedName>
    <definedName name="_xlnm._FilterDatabase" localSheetId="8" hidden="1">'Maturitas Dashboard'!$A$1:$D$1</definedName>
    <definedName name="_xlnm._FilterDatabase" localSheetId="6" hidden="1">'Nilai Maturitas'!$A$1:$D$1</definedName>
    <definedName name="_xlnm._FilterDatabase" localSheetId="3" hidden="1">'Pengkinian Data'!$B$2:$D$2</definedName>
    <definedName name="_xlnm._FilterDatabase" localSheetId="7" hidden="1">'Penilaian Resiko'!$A$1:$D$1</definedName>
    <definedName name="_xlnm._FilterDatabase" localSheetId="0" hidden="1">STR!$V$1:$V$63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L8" i="12" l="1" a="1"/>
  <c r="L8" i="12" s="1"/>
  <c r="L7" i="11" a="1"/>
  <c r="L7" i="11" s="1"/>
  <c r="I8" i="12" a="1"/>
  <c r="I8" i="12" s="1"/>
  <c r="I7" i="11" a="1"/>
  <c r="I7" i="11" s="1"/>
  <c r="F8" i="12" a="1"/>
  <c r="F8" i="12" s="1"/>
  <c r="F7" i="11" a="1"/>
  <c r="F7" i="11" s="1"/>
  <c r="C8" i="12" a="1"/>
  <c r="C8" i="12" s="1"/>
  <c r="C7" i="11" a="1"/>
  <c r="C7" i="11" s="1"/>
  <c r="L7" i="10" a="1"/>
  <c r="L7" i="10" s="1"/>
  <c r="I7" i="10" a="1"/>
  <c r="I7" i="10" s="1"/>
  <c r="F7" i="10" a="1"/>
  <c r="F7" i="10" s="1"/>
  <c r="C7" i="10" a="1"/>
  <c r="C7" i="10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C10" i="12"/>
  <c r="E10" i="12" s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C6" i="12"/>
  <c r="E6" i="12" s="1"/>
  <c r="H8" i="12" s="1"/>
  <c r="E3" i="6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C4" i="12"/>
  <c r="L15" i="12"/>
  <c r="N15" i="12" s="1"/>
  <c r="I15" i="12"/>
  <c r="K15" i="12" s="1"/>
  <c r="F15" i="12"/>
  <c r="H15" i="12" s="1"/>
  <c r="C15" i="12"/>
  <c r="E15" i="12" s="1"/>
  <c r="L14" i="12"/>
  <c r="N14" i="12" s="1"/>
  <c r="I14" i="12"/>
  <c r="K14" i="12" s="1"/>
  <c r="F14" i="12"/>
  <c r="H14" i="12" s="1"/>
  <c r="C14" i="12"/>
  <c r="E14" i="12" s="1"/>
  <c r="L13" i="12"/>
  <c r="N13" i="12" s="1"/>
  <c r="I13" i="12"/>
  <c r="K13" i="12" s="1"/>
  <c r="F13" i="12"/>
  <c r="H13" i="12" s="1"/>
  <c r="C13" i="12"/>
  <c r="E13" i="12" s="1"/>
  <c r="L12" i="12" a="1"/>
  <c r="L12" i="12" s="1"/>
  <c r="N12" i="12" s="1"/>
  <c r="I12" i="12" a="1"/>
  <c r="I12" i="12" s="1"/>
  <c r="K12" i="12" s="1"/>
  <c r="F12" i="12" a="1"/>
  <c r="F12" i="12" s="1"/>
  <c r="H12" i="12" s="1"/>
  <c r="C12" i="12" a="1"/>
  <c r="C12" i="12" s="1"/>
  <c r="E12" i="12" s="1"/>
  <c r="L11" i="12" a="1"/>
  <c r="L11" i="12" s="1"/>
  <c r="N11" i="12" s="1"/>
  <c r="I11" i="12" a="1"/>
  <c r="I11" i="12" s="1"/>
  <c r="K11" i="12" s="1"/>
  <c r="F11" i="12" a="1"/>
  <c r="F11" i="12" s="1"/>
  <c r="H11" i="12" s="1"/>
  <c r="C11" i="12" a="1"/>
  <c r="C11" i="12" s="1"/>
  <c r="E11" i="12" s="1"/>
  <c r="I10" i="12"/>
  <c r="K10" i="12" s="1"/>
  <c r="F10" i="12"/>
  <c r="H10" i="12" s="1"/>
  <c r="L9" i="12" a="1"/>
  <c r="L9" i="12" s="1"/>
  <c r="N9" i="12" s="1"/>
  <c r="I9" i="12" a="1"/>
  <c r="I9" i="12" s="1"/>
  <c r="K9" i="12" s="1"/>
  <c r="F9" i="12" a="1"/>
  <c r="F9" i="12" s="1"/>
  <c r="H9" i="12" s="1"/>
  <c r="C9" i="12" a="1"/>
  <c r="C9" i="12" s="1"/>
  <c r="E9" i="12" s="1"/>
  <c r="E8" i="12"/>
  <c r="L7" i="12"/>
  <c r="N7" i="12" s="1"/>
  <c r="I7" i="12"/>
  <c r="K7" i="12" s="1"/>
  <c r="F7" i="12"/>
  <c r="H7" i="12" s="1"/>
  <c r="C7" i="12"/>
  <c r="E7" i="12" s="1"/>
  <c r="I6" i="12"/>
  <c r="K6" i="12" s="1"/>
  <c r="N8" i="12" s="1"/>
  <c r="F6" i="12"/>
  <c r="H6" i="12" s="1"/>
  <c r="K8" i="12" s="1"/>
  <c r="L4" i="12"/>
  <c r="N4" i="12" s="1"/>
  <c r="I4" i="12"/>
  <c r="K4" i="12" s="1"/>
  <c r="F4" i="12"/>
  <c r="H4" i="12" s="1"/>
  <c r="E4" i="12"/>
  <c r="L10" i="10" a="1"/>
  <c r="L10" i="10"/>
  <c r="C6" i="11"/>
  <c r="F6" i="11"/>
  <c r="I6" i="11"/>
  <c r="K6" i="11" s="1"/>
  <c r="L6" i="11"/>
  <c r="C9" i="11"/>
  <c r="E9" i="11" s="1"/>
  <c r="F9" i="11"/>
  <c r="H9" i="11" s="1"/>
  <c r="I9" i="11"/>
  <c r="C12" i="11"/>
  <c r="F12" i="11"/>
  <c r="I12" i="11"/>
  <c r="L12" i="11"/>
  <c r="C13" i="11"/>
  <c r="F13" i="11"/>
  <c r="I13" i="11"/>
  <c r="L13" i="11"/>
  <c r="C14" i="11"/>
  <c r="F14" i="11"/>
  <c r="I14" i="11"/>
  <c r="L14" i="11"/>
  <c r="C4" i="11"/>
  <c r="F4" i="11"/>
  <c r="I4" i="11"/>
  <c r="K4" i="11" s="1"/>
  <c r="L4" i="11"/>
  <c r="C5" i="11"/>
  <c r="E5" i="11" s="1"/>
  <c r="H7" i="11" s="1"/>
  <c r="F5" i="11"/>
  <c r="H5" i="11" s="1"/>
  <c r="K7" i="11" s="1"/>
  <c r="I5" i="11"/>
  <c r="N14" i="11"/>
  <c r="N13" i="11"/>
  <c r="N12" i="11"/>
  <c r="L11" i="11" a="1"/>
  <c r="L11" i="11" s="1"/>
  <c r="N11" i="11" s="1"/>
  <c r="L10" i="11" a="1"/>
  <c r="L10" i="11" s="1"/>
  <c r="N10" i="11" s="1"/>
  <c r="L8" i="11" a="1"/>
  <c r="L8" i="11" s="1"/>
  <c r="N8" i="11" s="1"/>
  <c r="N6" i="11"/>
  <c r="N4" i="11"/>
  <c r="K14" i="11"/>
  <c r="H14" i="11"/>
  <c r="E14" i="11"/>
  <c r="K13" i="11"/>
  <c r="H13" i="11"/>
  <c r="E13" i="11"/>
  <c r="K12" i="11"/>
  <c r="H12" i="11"/>
  <c r="E12" i="11"/>
  <c r="I11" i="11" a="1"/>
  <c r="I11" i="11" s="1"/>
  <c r="K11" i="11" s="1"/>
  <c r="F11" i="11" a="1"/>
  <c r="F11" i="11" s="1"/>
  <c r="H11" i="11" s="1"/>
  <c r="C11" i="11" a="1"/>
  <c r="C11" i="11" s="1"/>
  <c r="E11" i="11" s="1"/>
  <c r="I10" i="11" a="1"/>
  <c r="I10" i="11" s="1"/>
  <c r="K10" i="11" s="1"/>
  <c r="F10" i="11" a="1"/>
  <c r="F10" i="11" s="1"/>
  <c r="H10" i="11" s="1"/>
  <c r="C10" i="11" a="1"/>
  <c r="C10" i="11" s="1"/>
  <c r="E10" i="11" s="1"/>
  <c r="K9" i="11"/>
  <c r="I8" i="11" a="1"/>
  <c r="I8" i="11" s="1"/>
  <c r="K8" i="11" s="1"/>
  <c r="F8" i="11" a="1"/>
  <c r="F8" i="11" s="1"/>
  <c r="H8" i="11" s="1"/>
  <c r="C8" i="11" a="1"/>
  <c r="C8" i="11" s="1"/>
  <c r="E8" i="11" s="1"/>
  <c r="E7" i="11"/>
  <c r="H6" i="11"/>
  <c r="E6" i="11"/>
  <c r="K5" i="11"/>
  <c r="N7" i="11" s="1"/>
  <c r="H4" i="11"/>
  <c r="E4" i="11"/>
  <c r="L6" i="10"/>
  <c r="E7" i="10"/>
  <c r="F9" i="10"/>
  <c r="H9" i="10" s="1"/>
  <c r="I9" i="10"/>
  <c r="K9" i="10" s="1"/>
  <c r="C12" i="10"/>
  <c r="F12" i="10"/>
  <c r="I12" i="10"/>
  <c r="L12" i="10"/>
  <c r="C13" i="10"/>
  <c r="F13" i="10"/>
  <c r="I13" i="10"/>
  <c r="L13" i="10"/>
  <c r="C14" i="10"/>
  <c r="F14" i="10"/>
  <c r="I14" i="10"/>
  <c r="L14" i="10"/>
  <c r="C4" i="10"/>
  <c r="F4" i="10"/>
  <c r="I4" i="10"/>
  <c r="K4" i="10" s="1"/>
  <c r="L4" i="10"/>
  <c r="C5" i="10"/>
  <c r="F5" i="10"/>
  <c r="H5" i="10" s="1"/>
  <c r="K7" i="10" s="1"/>
  <c r="I5" i="10"/>
  <c r="K5" i="10" s="1"/>
  <c r="N7" i="10" s="1"/>
  <c r="C6" i="10"/>
  <c r="E6" i="10" s="1"/>
  <c r="F6" i="10"/>
  <c r="I6" i="10"/>
  <c r="N14" i="10"/>
  <c r="K14" i="10"/>
  <c r="H14" i="10"/>
  <c r="E14" i="10"/>
  <c r="N13" i="10"/>
  <c r="K13" i="10"/>
  <c r="H13" i="10"/>
  <c r="E13" i="10"/>
  <c r="N12" i="10"/>
  <c r="K12" i="10"/>
  <c r="H12" i="10"/>
  <c r="E12" i="10"/>
  <c r="L11" i="10" a="1"/>
  <c r="L11" i="10" s="1"/>
  <c r="N11" i="10" s="1"/>
  <c r="I11" i="10" a="1"/>
  <c r="I11" i="10" s="1"/>
  <c r="K11" i="10" s="1"/>
  <c r="F11" i="10" a="1"/>
  <c r="F11" i="10" s="1"/>
  <c r="H11" i="10" s="1"/>
  <c r="C11" i="10" a="1"/>
  <c r="C11" i="10" s="1"/>
  <c r="E11" i="10" s="1"/>
  <c r="N10" i="10"/>
  <c r="I10" i="10" a="1"/>
  <c r="I10" i="10" s="1"/>
  <c r="K10" i="10" s="1"/>
  <c r="F10" i="10" a="1"/>
  <c r="F10" i="10" s="1"/>
  <c r="H10" i="10" s="1"/>
  <c r="C10" i="10" a="1"/>
  <c r="C10" i="10" s="1"/>
  <c r="E10" i="10" s="1"/>
  <c r="L8" i="10" a="1"/>
  <c r="L8" i="10" s="1"/>
  <c r="N8" i="10" s="1"/>
  <c r="I8" i="10" a="1"/>
  <c r="I8" i="10" s="1"/>
  <c r="K8" i="10" s="1"/>
  <c r="F8" i="10" a="1"/>
  <c r="F8" i="10" s="1"/>
  <c r="H8" i="10" s="1"/>
  <c r="C8" i="10" a="1"/>
  <c r="C8" i="10" s="1"/>
  <c r="E8" i="10" s="1"/>
  <c r="N6" i="10"/>
  <c r="K6" i="10"/>
  <c r="H6" i="10"/>
  <c r="E5" i="10"/>
  <c r="H7" i="10" s="1"/>
  <c r="N4" i="10"/>
  <c r="H4" i="10"/>
  <c r="E4" i="10"/>
  <c r="AB13" i="5"/>
  <c r="AB12" i="5"/>
  <c r="AB14" i="5" s="1"/>
  <c r="AB10" i="5"/>
  <c r="AB9" i="5"/>
  <c r="AB11" i="5" s="1"/>
  <c r="AB7" i="5"/>
  <c r="AB6" i="5"/>
  <c r="AB4" i="5"/>
  <c r="AB3" i="5"/>
  <c r="AB5" i="5" s="1"/>
  <c r="E20" i="9"/>
  <c r="E14" i="9"/>
  <c r="E8" i="9"/>
  <c r="E2" i="9"/>
  <c r="E20" i="8"/>
  <c r="E14" i="8"/>
  <c r="E8" i="8"/>
  <c r="E2" i="8"/>
  <c r="E2" i="7"/>
  <c r="E14" i="7"/>
  <c r="E8" i="7"/>
  <c r="E20" i="7"/>
  <c r="E9" i="6"/>
  <c r="E21" i="2"/>
  <c r="E15" i="2"/>
  <c r="E9" i="2"/>
  <c r="E3" i="2"/>
  <c r="E15" i="6"/>
  <c r="E15" i="1"/>
  <c r="E9" i="1"/>
  <c r="E3" i="1"/>
  <c r="A2" i="5" a="1"/>
  <c r="L9" i="11" l="1"/>
  <c r="N9" i="11" s="1"/>
  <c r="C9" i="10"/>
  <c r="E9" i="10" s="1"/>
  <c r="E21" i="1"/>
  <c r="L9" i="10"/>
  <c r="N9" i="10" s="1"/>
  <c r="L10" i="12"/>
  <c r="N10" i="12" s="1"/>
  <c r="L5" i="10"/>
  <c r="N5" i="10" s="1"/>
  <c r="L5" i="11"/>
  <c r="N5" i="11" s="1"/>
  <c r="N15" i="11" s="1"/>
  <c r="E15" i="11"/>
  <c r="L6" i="12"/>
  <c r="N6" i="12" s="1"/>
  <c r="E21" i="6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2" i="5"/>
  <c r="AA17" i="5"/>
  <c r="K15" i="11"/>
  <c r="H15" i="10"/>
  <c r="H15" i="11"/>
  <c r="A2" i="5"/>
  <c r="AB8" i="5"/>
  <c r="K15" i="10"/>
  <c r="E15" i="10"/>
  <c r="N15" i="10" l="1"/>
  <c r="L5" i="12"/>
  <c r="I5" i="12"/>
  <c r="K5" i="12" s="1"/>
  <c r="K16" i="12" s="1"/>
  <c r="F5" i="12"/>
  <c r="C5" i="12"/>
  <c r="E5" i="12" s="1"/>
  <c r="E16" i="12" s="1"/>
  <c r="N5" i="12"/>
  <c r="N16" i="12" s="1"/>
  <c r="H5" i="12"/>
  <c r="H16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<sst xmlns="http://schemas.openxmlformats.org/spreadsheetml/2006/main" count="665" uniqueCount="199">
  <si>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</si>
  <si>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</si>
  <si>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</si>
  <si>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</si>
  <si>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</si>
  <si>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</si>
  <si>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</si>
  <si>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</si>
  <si>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</si>
  <si>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</si>
  <si>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</si>
  <si>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</si>
  <si>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</si>
  <si>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</si>
  <si>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</si>
  <si>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</si>
  <si>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</si>
  <si>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</si>
  <si>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</si>
  <si>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</si>
  <si>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</si>
  <si>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</si>
  <si>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</si>
  <si>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</si>
  <si>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Zulkarnain</t>
  </si>
  <si>
    <t>ANDRE PANGESTU</t>
  </si>
  <si>
    <t>TL Done</t>
  </si>
  <si>
    <t>ALVIN ADAM</t>
  </si>
  <si>
    <t>Firdaus A Hamid</t>
  </si>
  <si>
    <t>Total Diposisi</t>
  </si>
  <si>
    <t>ABDULLAH</t>
  </si>
  <si>
    <t>Bambang Dwi Raharjo</t>
  </si>
  <si>
    <t>% Done</t>
  </si>
  <si>
    <t>CINTA RAJA</t>
  </si>
  <si>
    <t>Herry Kurniawan</t>
  </si>
  <si>
    <t>CV DHARINDO CORP</t>
  </si>
  <si>
    <t>DEDE HANDOKO</t>
  </si>
  <si>
    <t>Richard Siburian</t>
  </si>
  <si>
    <t>EVA</t>
  </si>
  <si>
    <t>FARHAN ADRIAN</t>
  </si>
  <si>
    <t>HUSAINI</t>
  </si>
  <si>
    <t>HARIS MATIUS SILAEN</t>
  </si>
  <si>
    <t>HASMERI</t>
  </si>
  <si>
    <t>ICHSAN ANDARA</t>
  </si>
  <si>
    <t>INDORASAPRIMA SUKSES MAKMUR</t>
  </si>
  <si>
    <t>INDRA WADI</t>
  </si>
  <si>
    <t>IMRON HARAHAP</t>
  </si>
  <si>
    <t>IRAWATI PONTOH</t>
  </si>
  <si>
    <t>JOKO SUSILO SITORUS</t>
  </si>
  <si>
    <t>LILIANI</t>
  </si>
  <si>
    <t>M. ALFAIZ ZAHY MUFLIH</t>
  </si>
  <si>
    <t>MUHAMMAD RAFLI</t>
  </si>
  <si>
    <t>MUZAINAH</t>
  </si>
  <si>
    <t>M SALEH</t>
  </si>
  <si>
    <t>MUCHLISIN HABIBIE</t>
  </si>
  <si>
    <t>MAPPASESSU</t>
  </si>
  <si>
    <t>NURUL HADI</t>
  </si>
  <si>
    <t>NICKHOLAS JEFFRY BUNGARAN BATUBARA</t>
  </si>
  <si>
    <t>NUR ELISAH BR HASIBUAN</t>
  </si>
  <si>
    <t>RUMAH SAKIT UMUM SAWIT INDAH</t>
  </si>
  <si>
    <t>PT SINUNUKAN ENERGI GEMILANG</t>
  </si>
  <si>
    <t>PT ANUGERAH KENCANA CORP</t>
  </si>
  <si>
    <t>RAZALI HUSEIN SE</t>
  </si>
  <si>
    <t>RANGGA APRIYANDI SIREGAR</t>
  </si>
  <si>
    <t>ROSITA ANGGEREK</t>
  </si>
  <si>
    <t>SUGIANTO</t>
  </si>
  <si>
    <t>SULASMI</t>
  </si>
  <si>
    <t>SRIYATI</t>
  </si>
  <si>
    <t>YETTI SUNARSIH</t>
  </si>
  <si>
    <t>CV OHZP PARDOMUAN SEJAHTERA</t>
  </si>
  <si>
    <t>RITA PURNAMA</t>
  </si>
  <si>
    <t>PT SETIA BUDI INDAH</t>
  </si>
  <si>
    <t>SOPIAN HADI</t>
  </si>
  <si>
    <t>YENDARI SIMATUPANG</t>
  </si>
  <si>
    <t>AHMAD FAUZI</t>
  </si>
  <si>
    <t>FARID WAZDI</t>
  </si>
  <si>
    <t>TENGKU MAHYUDI</t>
  </si>
  <si>
    <t>CV CORETRONIC CORP</t>
  </si>
  <si>
    <t>MARIA SOVIA LAU</t>
  </si>
  <si>
    <t>KARNI</t>
  </si>
  <si>
    <t>PT PEGADAIAN KANWIL MEDAN</t>
  </si>
  <si>
    <t>IKA SURYANI MELIALA</t>
  </si>
  <si>
    <t>IKM CONFERENCE</t>
  </si>
  <si>
    <t>BISBON BUTAR BUTAR</t>
  </si>
  <si>
    <t>BUANA SAWIT INDAH</t>
  </si>
  <si>
    <t>CV GRAND CENTRAL UTAMA</t>
  </si>
  <si>
    <t>CV ACE PRIMA RESOURCES SDN</t>
  </si>
  <si>
    <t>SAHALA HASOLOAN SIJABAT</t>
  </si>
  <si>
    <t>SABAR GANDA AND PARTNERS LAW OFFICE</t>
  </si>
  <si>
    <t>SAPADIA WISATA</t>
  </si>
  <si>
    <t>PUTRA MARIANUS TARIGAN</t>
  </si>
  <si>
    <t>PT PRIORITAS BAHAGIA BERSAMA</t>
  </si>
  <si>
    <t>MULTI CENTRAL SARANA</t>
  </si>
  <si>
    <t>BERLIAN NUSANTARA PERKASA</t>
  </si>
  <si>
    <t>No.</t>
  </si>
  <si>
    <t>Unit Kerja</t>
  </si>
  <si>
    <t>PIC RAC</t>
  </si>
  <si>
    <t>%PEP TL Done</t>
  </si>
  <si>
    <t>Average</t>
  </si>
  <si>
    <t>KC Gunung Sitoli</t>
  </si>
  <si>
    <t>KC Kabanjahe</t>
  </si>
  <si>
    <t>KC Kisaran</t>
  </si>
  <si>
    <t>KC Lubuk Pakam</t>
  </si>
  <si>
    <t>KC Medan Putri Hijau</t>
  </si>
  <si>
    <t>KC Sidikalang</t>
  </si>
  <si>
    <t>KC Medan Iskandar Muda</t>
  </si>
  <si>
    <t>KC Padang Sidempuan</t>
  </si>
  <si>
    <t>KC Perdagangan</t>
  </si>
  <si>
    <t>KC Sibuhuan</t>
  </si>
  <si>
    <t>KC Stabat</t>
  </si>
  <si>
    <t>KC Tarutung</t>
  </si>
  <si>
    <t>KC Kota Pinang</t>
  </si>
  <si>
    <t>KC Medan Gatot Subroto</t>
  </si>
  <si>
    <t>KC Medan Thamrin</t>
  </si>
  <si>
    <t>KC Rantau Prapat</t>
  </si>
  <si>
    <t>KC Sibolga</t>
  </si>
  <si>
    <t>KC Tebing Tinggi</t>
  </si>
  <si>
    <t>KC Balige</t>
  </si>
  <si>
    <t>KC Binjai</t>
  </si>
  <si>
    <t>KC Medan Sisingamangaraja</t>
  </si>
  <si>
    <t>KC Panyabungan</t>
  </si>
  <si>
    <t>KC Pematang Siantar</t>
  </si>
  <si>
    <t>KC Tanjung Balai</t>
  </si>
  <si>
    <t>Bad Data</t>
  </si>
  <si>
    <t>Pengkinian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</si>
  <si>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</si>
  <si>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</si>
  <si>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</si>
  <si>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</si>
  <si>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</si>
  <si>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</si>
  <si>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</si>
  <si>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</si>
  <si>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</si>
  <si>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</si>
  <si>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</si>
  <si>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</si>
  <si>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</si>
  <si>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</si>
  <si>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</si>
  <si>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</si>
  <si>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BO Gunung Sitoli</t>
  </si>
  <si>
    <t>BO Tarutung</t>
  </si>
  <si>
    <t>BO Panyambungan</t>
  </si>
  <si>
    <t>BO Stabat</t>
  </si>
  <si>
    <t>**https://bri2-my.sharepoint.com/:f:/g/personal/00136153_hq_bri_co_id/IgAuv24GYPy3RpGb6TL-1UiQAWtriwDtmLPjkUVVkls_5vg?e=04gQla</t>
  </si>
  <si>
    <t>4.Kertas Kerja</t>
  </si>
  <si>
    <t>5. Laporan Uji Petik</t>
  </si>
  <si>
    <t>Nilai maturitas</t>
  </si>
  <si>
    <t>Rating maturitas</t>
  </si>
  <si>
    <t>AB</t>
  </si>
  <si>
    <t>BO Kabanjahe</t>
  </si>
  <si>
    <t>BO Kisaran</t>
  </si>
  <si>
    <t>BO Lubuk Pakam</t>
  </si>
  <si>
    <t>BO Medan Putri Hijau</t>
  </si>
  <si>
    <t>BO Sidikalang</t>
  </si>
  <si>
    <t>BO Medan Iskandar Muda</t>
  </si>
  <si>
    <t>BO Padang Sidempuan</t>
  </si>
  <si>
    <t>BO Perdagangan</t>
  </si>
  <si>
    <t>BO Sibuhuan</t>
  </si>
  <si>
    <t>BO Kota Pinang</t>
  </si>
  <si>
    <t>A</t>
  </si>
  <si>
    <t>BO Medan Gatot Subroto</t>
  </si>
  <si>
    <t>BO Medan Thamrin</t>
  </si>
  <si>
    <t>BO Rantau Prapat</t>
  </si>
  <si>
    <t>BO Sibolga</t>
  </si>
  <si>
    <t>BO Tebing Tinggi</t>
  </si>
  <si>
    <t>BO Balige</t>
  </si>
  <si>
    <t>BO Binjai</t>
  </si>
  <si>
    <t>BO Medan Sisingamangaraja</t>
  </si>
  <si>
    <t>BO Panyabungan</t>
  </si>
  <si>
    <t>BO Pematang Siantar</t>
  </si>
  <si>
    <t>BO Tanjung Balai</t>
  </si>
  <si>
    <t>Nilai Risiko</t>
  </si>
  <si>
    <t>Nilai Risiko PIC</t>
  </si>
  <si>
    <t>Rating Risiko PIC</t>
  </si>
  <si>
    <t>Medium to High</t>
  </si>
  <si>
    <t>Nilai Maturitas</t>
  </si>
  <si>
    <t>Nilai Maturitas PIC</t>
  </si>
  <si>
    <t>Rating Maturitas PIC</t>
  </si>
  <si>
    <t>Sangat Baik</t>
  </si>
  <si>
    <t>No</t>
  </si>
  <si>
    <t>Aspek Penilaian</t>
  </si>
  <si>
    <t>Nilai</t>
  </si>
  <si>
    <t>Bobot</t>
  </si>
  <si>
    <t>Score</t>
  </si>
  <si>
    <t xml:space="preserve">STR </t>
  </si>
  <si>
    <t>.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</si>
  <si>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</si>
  <si>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</si>
  <si>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</si>
  <si>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</si>
  <si>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</si>
  <si>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</si>
  <si>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</si>
  <si>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</si>
  <si>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</si>
  <si>
    <t>Bobotan</t>
  </si>
  <si>
    <t>Kualitas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</si>
</sst>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1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3" xfId="0" applyFont="1" applyFill="1" applyBorder="1" applyAlignment="1">
      <alignment horizontal="center" vertical="center"/>
    </xf>
    <xf numFmtId="15" fontId="1" fillId="2" borderId="3" xfId="0" applyNumberFormat="1" applyFont="1" applyFill="1" applyBorder="1"/>
    <xf numFmtId="1" fontId="3" fillId="0" borderId="3" xfId="0" applyNumberFormat="1" applyFont="1" applyBorder="1" applyAlignment="1">
      <alignment horizontal="left" vertical="center"/>
    </xf>
    <xf numFmtId="10" fontId="0" fillId="0" borderId="3" xfId="0" applyNumberFormat="1" applyBorder="1"/>
    <xf numFmtId="0" fontId="3" fillId="0" borderId="3" xfId="0" applyFont="1" applyBorder="1" applyAlignment="1">
      <alignment vertical="center"/>
    </xf>
    <xf numFmtId="0" fontId="6" fillId="0" borderId="3" xfId="0" applyFont="1" applyBorder="1"/>
    <xf numFmtId="0" fontId="0" fillId="0" borderId="7" xfId="0" applyBorder="1"/>
    <xf numFmtId="0" fontId="1" fillId="2" borderId="8" xfId="0" applyFont="1" applyFill="1" applyBorder="1" applyAlignment="1">
      <alignment horizontal="center"/>
    </xf>
    <xf numFmtId="0" fontId="7" fillId="0" borderId="0" xfId="0" applyFont="1"/>
    <xf numFmtId="164" fontId="6" fillId="0" borderId="3" xfId="0" applyNumberFormat="1" applyFont="1" applyBorder="1"/>
    <xf numFmtId="164" fontId="0" fillId="0" borderId="3" xfId="0" applyNumberFormat="1" applyBorder="1"/>
    <xf numFmtId="0" fontId="7" fillId="0" borderId="3" xfId="0" applyFont="1" applyBorder="1"/>
    <xf numFmtId="9" fontId="0" fillId="0" borderId="0" xfId="1" applyFont="1"/>
    <xf numFmtId="0" fontId="9" fillId="5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left" vertical="center"/>
    </xf>
    <xf numFmtId="164" fontId="9" fillId="0" borderId="3" xfId="0" applyNumberFormat="1" applyFont="1" applyBorder="1" applyAlignment="1">
      <alignment horizontal="center"/>
    </xf>
    <xf numFmtId="9" fontId="9" fillId="0" borderId="3" xfId="0" applyNumberFormat="1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left" vertical="center"/>
    </xf>
    <xf numFmtId="164" fontId="9" fillId="0" borderId="4" xfId="0" applyNumberFormat="1" applyFont="1" applyBorder="1" applyAlignment="1">
      <alignment horizontal="center"/>
    </xf>
    <xf numFmtId="9" fontId="9" fillId="0" borderId="4" xfId="0" applyNumberFormat="1" applyFont="1" applyBorder="1" applyAlignment="1">
      <alignment horizontal="center"/>
    </xf>
    <xf numFmtId="2" fontId="9" fillId="0" borderId="4" xfId="0" applyNumberFormat="1" applyFont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10" fontId="10" fillId="6" borderId="3" xfId="0" applyNumberFormat="1" applyFont="1" applyFill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0" fillId="0" borderId="4" xfId="1" applyNumberFormat="1" applyFont="1" applyBorder="1" applyAlignment="1">
      <alignment horizontal="center" vertical="center"/>
    </xf>
    <xf numFmtId="2" fontId="0" fillId="0" borderId="5" xfId="1" applyNumberFormat="1" applyFont="1" applyBorder="1" applyAlignment="1">
      <alignment horizontal="center" vertical="center"/>
    </xf>
    <xf numFmtId="2" fontId="0" fillId="0" borderId="6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1%20-%20Medan/Data%20Evaluasi%20Medan.xlsx" TargetMode="External"/><Relationship Id="rId2" Type="http://schemas.openxmlformats.org/officeDocument/2006/relationships/externalLinkPath" Target="https://bri2-my.sharepoint.com/personal/00136153_hq_bri_co_id/Documents/Assurance%20Team/RAC%20Team/Moneva/Region%201%20-%20Medan/Data%20Evaluasi%20Medan.xlsx" TargetMode="External"/><Relationship Id="rId1" Type="http://schemas.openxmlformats.org/officeDocument/2006/relationships/externalLinkPath" Target="/personal/00136153_hq_bri_co_id/Documents/Assurance%20Team/RAC%20Team/Moneva/Region%201%20-%20Medan/Data%20Evaluasi%20Meda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TKM/1.%20Penilaian%20Region%201%20Medan.xlsx" TargetMode="External"/><Relationship Id="rId2" Type="http://schemas.openxmlformats.org/officeDocument/2006/relationships/externalLinkPath" Target="https://bri2-my.sharepoint.com/personal/00136153_hq_bri_co_id/Documents/Assurance%20Team/00%20-%20Data%20RAC/LTKM/1.%20Penilaian%20Region%201%20Medan.xlsx" TargetMode="External"/><Relationship Id="rId1" Type="http://schemas.openxmlformats.org/officeDocument/2006/relationships/externalLinkPath" Target="/personal/00136153_hq_bri_co_id/Documents/Assurance%20Team/00%20-%20Data%20RAC/LTKM/1.%20Penilaian%20Region%201%20Med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UOJTF5JNIR7ZDYAY7K4KTOR7ZY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/>
      <sheetData sheetId="1"/>
      <sheetData sheetId="2"/>
      <sheetData sheetId="3"/>
      <sheetData sheetId="4">
        <row r="3">
          <cell r="C3" t="str">
            <v>Bambang Dwi Raharjo</v>
          </cell>
          <cell r="E3"/>
        </row>
        <row r="4">
          <cell r="C4" t="str">
            <v>Zulkarnain</v>
          </cell>
          <cell r="E4"/>
        </row>
        <row r="5">
          <cell r="C5" t="str">
            <v>Herry Kurniawan</v>
          </cell>
          <cell r="E5">
            <v>46282</v>
          </cell>
        </row>
        <row r="6">
          <cell r="C6" t="str">
            <v>Herry Kurniawan</v>
          </cell>
          <cell r="E6"/>
        </row>
        <row r="7">
          <cell r="C7" t="str">
            <v>Herry Kurniawan</v>
          </cell>
          <cell r="E7">
            <v>46281</v>
          </cell>
        </row>
        <row r="8">
          <cell r="C8" t="str">
            <v>Richard Siburian</v>
          </cell>
          <cell r="E8">
            <v>46282</v>
          </cell>
        </row>
        <row r="9">
          <cell r="C9"/>
          <cell r="E9"/>
        </row>
        <row r="10">
          <cell r="C10"/>
          <cell r="E10"/>
        </row>
        <row r="11">
          <cell r="C11"/>
          <cell r="E11"/>
        </row>
        <row r="12">
          <cell r="C12"/>
          <cell r="E12"/>
        </row>
        <row r="13">
          <cell r="C13"/>
          <cell r="E13"/>
        </row>
        <row r="14">
          <cell r="C14"/>
          <cell r="E14"/>
        </row>
        <row r="15">
          <cell r="C15"/>
          <cell r="E15"/>
        </row>
        <row r="16">
          <cell r="C16"/>
          <cell r="E16"/>
        </row>
        <row r="17">
          <cell r="C17"/>
          <cell r="E17"/>
        </row>
        <row r="18">
          <cell r="C18"/>
          <cell r="E18"/>
        </row>
        <row r="19">
          <cell r="C19"/>
          <cell r="E19"/>
        </row>
        <row r="20">
          <cell r="C20"/>
          <cell r="E20"/>
        </row>
        <row r="21">
          <cell r="C21"/>
          <cell r="E21"/>
        </row>
        <row r="22">
          <cell r="C22"/>
          <cell r="E22"/>
        </row>
        <row r="23">
          <cell r="C23"/>
          <cell r="E23"/>
        </row>
        <row r="24">
          <cell r="C24"/>
          <cell r="E24"/>
        </row>
        <row r="25">
          <cell r="C25"/>
          <cell r="E25"/>
        </row>
        <row r="26">
          <cell r="C26"/>
          <cell r="E26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0.95714285714285718</v>
          </cell>
        </row>
        <row r="5">
          <cell r="B5" t="str">
            <v>KC Abunjani Sipin</v>
          </cell>
          <cell r="G5">
            <v>0.99371069182389937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0.99019607843137258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0.95652173913043481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0.96153846153846156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0.81818181818181823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0.98058252427184467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0.93939393939393945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0.94117647058823528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0.94871794871794868</v>
          </cell>
        </row>
        <row r="37">
          <cell r="B37" t="str">
            <v>KC Banjarmasin</v>
          </cell>
          <cell r="G37">
            <v>0.96666666666666667</v>
          </cell>
        </row>
        <row r="38">
          <cell r="B38" t="str">
            <v>KC Banjarmasin 2</v>
          </cell>
          <cell r="G38">
            <v>0.93023255813953487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0.94117647058823528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0.88888888888888884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0.95714285714285718</v>
          </cell>
        </row>
        <row r="53">
          <cell r="B53" t="str">
            <v>KC Bekasi</v>
          </cell>
          <cell r="G53">
            <v>0.95757575757575752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0.9916666666666667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0.97959183673469385</v>
          </cell>
        </row>
        <row r="61">
          <cell r="B61" t="str">
            <v>KC Bintaro</v>
          </cell>
          <cell r="G61">
            <v>0.97368421052631582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0.97368421052631582</v>
          </cell>
        </row>
        <row r="66">
          <cell r="B66" t="str">
            <v>KC Bogor</v>
          </cell>
          <cell r="G66">
            <v>0.89940828402366868</v>
          </cell>
        </row>
        <row r="67">
          <cell r="B67" t="str">
            <v>KC Bogor Pajajaran</v>
          </cell>
          <cell r="G67">
            <v>0.97826086956521741</v>
          </cell>
        </row>
        <row r="68">
          <cell r="B68" t="str">
            <v>KC Bojonegoro</v>
          </cell>
          <cell r="G68">
            <v>0.95652173913043481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0.81481481481481477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0.93684210526315792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0.98666666666666669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0.97368421052631582</v>
          </cell>
        </row>
        <row r="84">
          <cell r="B84" t="str">
            <v>KC Cibadak</v>
          </cell>
          <cell r="G84">
            <v>0.9285714285714286</v>
          </cell>
        </row>
        <row r="85">
          <cell r="B85" t="str">
            <v>KC Cibinong</v>
          </cell>
          <cell r="G85">
            <v>0.93939393939393945</v>
          </cell>
        </row>
        <row r="86">
          <cell r="B86" t="str">
            <v>KC Cibubur</v>
          </cell>
          <cell r="G86">
            <v>0.98360655737704916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0.9555555555555556</v>
          </cell>
        </row>
        <row r="92">
          <cell r="B92" t="str">
            <v>KC Cimanggis</v>
          </cell>
          <cell r="G92">
            <v>0.9555555555555556</v>
          </cell>
        </row>
        <row r="93">
          <cell r="B93" t="str">
            <v>KC Ciputat</v>
          </cell>
          <cell r="G93">
            <v>0.8970588235294118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0.91428571428571426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0.96666666666666667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0.96638655462184875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0.97142857142857142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0.91818181818181821</v>
          </cell>
        </row>
        <row r="111">
          <cell r="B111" t="str">
            <v>KC Garut</v>
          </cell>
          <cell r="G111">
            <v>0.98076923076923073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0.9642857142857143</v>
          </cell>
        </row>
        <row r="121">
          <cell r="B121" t="str">
            <v>KC Jakarta Cut Mutiah</v>
          </cell>
          <cell r="G121">
            <v>0.88059701492537312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0.96551724137931039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0.97674418604651159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0.93939393939393945</v>
          </cell>
        </row>
        <row r="129">
          <cell r="B129" t="str">
            <v>KC Jakarta Jelambar</v>
          </cell>
          <cell r="G129">
            <v>0.88235294117647056</v>
          </cell>
        </row>
        <row r="130">
          <cell r="B130" t="str">
            <v>KC Jakarta Joglo</v>
          </cell>
          <cell r="G130">
            <v>0.91666666666666663</v>
          </cell>
        </row>
        <row r="131">
          <cell r="B131" t="str">
            <v>KC Jakarta Kalideres</v>
          </cell>
          <cell r="G131">
            <v>0.79487179487179482</v>
          </cell>
        </row>
        <row r="132">
          <cell r="B132" t="str">
            <v>KC JAKARTA KALIMALANG</v>
          </cell>
          <cell r="G132">
            <v>0.97413793103448276</v>
          </cell>
        </row>
        <row r="133">
          <cell r="B133" t="str">
            <v>KC Jakarta Kebayoran Baru</v>
          </cell>
          <cell r="G133">
            <v>0.96969696969696972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0.96153846153846156</v>
          </cell>
        </row>
        <row r="139">
          <cell r="B139" t="str">
            <v>KC Jakarta Kramat Jati</v>
          </cell>
          <cell r="G139">
            <v>0.95721925133689845</v>
          </cell>
        </row>
        <row r="140">
          <cell r="B140" t="str">
            <v>KC Jakarta Krekot</v>
          </cell>
          <cell r="G140">
            <v>0.96551724137931039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0.83333333333333337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0.9285714285714286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0.87096774193548387</v>
          </cell>
        </row>
        <row r="150">
          <cell r="B150" t="str">
            <v>KC Jakarta Pluit</v>
          </cell>
          <cell r="G150">
            <v>0.80952380952380953</v>
          </cell>
        </row>
        <row r="151">
          <cell r="B151" t="str">
            <v>KC Jakarta Pondok Indah</v>
          </cell>
          <cell r="G151">
            <v>0.97435897435897434</v>
          </cell>
        </row>
        <row r="152">
          <cell r="B152" t="str">
            <v>KC Jakarta Puri Niaga</v>
          </cell>
          <cell r="G152">
            <v>0.76923076923076927</v>
          </cell>
        </row>
        <row r="153">
          <cell r="B153" t="str">
            <v>KC Jakarta Radio Dalam</v>
          </cell>
          <cell r="G153">
            <v>0.9642857142857143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0.91228070175438591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0.93181818181818177</v>
          </cell>
        </row>
        <row r="162">
          <cell r="B162" t="str">
            <v>KC Jakarta Tangerang</v>
          </cell>
          <cell r="G162">
            <v>0.88235294117647056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0.88888888888888884</v>
          </cell>
        </row>
        <row r="170">
          <cell r="B170" t="str">
            <v>KC Jayapura</v>
          </cell>
          <cell r="G170">
            <v>0.94594594594594594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0.96666666666666667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0.97222222222222221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0.93333333333333335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0.97872340425531912</v>
          </cell>
        </row>
        <row r="188">
          <cell r="B188" t="str">
            <v>KC Kendari Samratulangi</v>
          </cell>
          <cell r="G188">
            <v>0.98529411764705888</v>
          </cell>
        </row>
        <row r="189">
          <cell r="B189" t="str">
            <v>KC Kepanjen</v>
          </cell>
          <cell r="G189">
            <v>0.95238095238095233</v>
          </cell>
        </row>
        <row r="190">
          <cell r="B190" t="str">
            <v>KC Ketapang</v>
          </cell>
          <cell r="G190">
            <v>0.98245614035087714</v>
          </cell>
        </row>
        <row r="191">
          <cell r="B191" t="str">
            <v>KC Khatib Sulaiman</v>
          </cell>
          <cell r="G191">
            <v>0.98830409356725146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0.96153846153846156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0.94594594594594594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0.95454545454545459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0.66666666666666663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0.94339622641509435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0.99408284023668636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0.93333333333333335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0.98076923076923073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0.97752808988764039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0.9285714285714286</v>
          </cell>
        </row>
        <row r="241">
          <cell r="B241" t="str">
            <v>KC Marabahan</v>
          </cell>
          <cell r="G241">
            <v>0.76470588235294112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0.99479166666666663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0.98773006134969321</v>
          </cell>
        </row>
        <row r="251">
          <cell r="B251" t="str">
            <v>KC Medan Putri Hijau</v>
          </cell>
          <cell r="G251">
            <v>0.96153846153846156</v>
          </cell>
        </row>
        <row r="252">
          <cell r="B252" t="str">
            <v>KC Medan Sisingamangaraja</v>
          </cell>
          <cell r="G252">
            <v>0.96363636363636362</v>
          </cell>
        </row>
        <row r="253">
          <cell r="B253" t="str">
            <v>KC Medan Thamrin</v>
          </cell>
          <cell r="G253">
            <v>0.98461538461538467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0.93548387096774188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0.71666666666666667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0.98461538461538467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0.98550724637681164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0.94117647058823528</v>
          </cell>
        </row>
        <row r="278">
          <cell r="B278" t="str">
            <v>KC Palangkaraya</v>
          </cell>
          <cell r="G278">
            <v>0.97222222222222221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0.97222222222222221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0.96666666666666667</v>
          </cell>
        </row>
        <row r="285">
          <cell r="B285" t="str">
            <v>KC Pamulang</v>
          </cell>
          <cell r="G285">
            <v>0.98734177215189878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0.81818181818181823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0.9850746268656716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0.89473684210526316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0.97142857142857142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0.95454545454545459</v>
          </cell>
        </row>
        <row r="301">
          <cell r="B301" t="str">
            <v>KC Payakumbuh</v>
          </cell>
          <cell r="G301">
            <v>0.98148148148148151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0.88235294117647056</v>
          </cell>
        </row>
        <row r="304">
          <cell r="B304" t="str">
            <v>KC Pekanbaru Sudirman</v>
          </cell>
          <cell r="G304">
            <v>0.9726027397260274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0.98888888888888893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0.88235294117647056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0.98098859315589348</v>
          </cell>
        </row>
        <row r="317">
          <cell r="B317" t="str">
            <v>KC Pontianak Gajah Mada</v>
          </cell>
          <cell r="G317">
            <v>0.94736842105263153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0.96666666666666667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0.96153846153846156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0.93333333333333335</v>
          </cell>
        </row>
        <row r="341">
          <cell r="B341" t="str">
            <v>KC SAMARINDA GAJAH MADA</v>
          </cell>
          <cell r="G341">
            <v>0.95161290322580649</v>
          </cell>
        </row>
        <row r="342">
          <cell r="B342" t="str">
            <v>KC SAMARINDA PELITA</v>
          </cell>
          <cell r="G342">
            <v>0.92307692307692313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0.98181818181818181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0.98780487804878048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0.97872340425531912</v>
          </cell>
        </row>
        <row r="352">
          <cell r="B352" t="str">
            <v>KC Semarang A. Yani</v>
          </cell>
          <cell r="G352">
            <v>0.98947368421052628</v>
          </cell>
        </row>
        <row r="353">
          <cell r="B353" t="str">
            <v>KC Semarang Pandanaran</v>
          </cell>
          <cell r="G353">
            <v>0.9850746268656716</v>
          </cell>
        </row>
        <row r="354">
          <cell r="B354" t="str">
            <v>KC Semarang Patimura</v>
          </cell>
          <cell r="G354">
            <v>0.94285714285714284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0.91666666666666663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0.97058823529411764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0.96296296296296291</v>
          </cell>
        </row>
        <row r="365">
          <cell r="B365" t="str">
            <v>KC Sidoarjo</v>
          </cell>
          <cell r="G365">
            <v>0.95833333333333337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0.97058823529411764</v>
          </cell>
        </row>
        <row r="368">
          <cell r="B368" t="str">
            <v>KC Simpang Empat</v>
          </cell>
          <cell r="G368">
            <v>0.98305084745762716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0.97142857142857142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0.97222222222222221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0.98630136986301364</v>
          </cell>
        </row>
        <row r="383">
          <cell r="B383" t="str">
            <v>KC Solok</v>
          </cell>
          <cell r="G383">
            <v>0.9838709677419355</v>
          </cell>
        </row>
        <row r="384">
          <cell r="B384" t="str">
            <v>KC Soreang</v>
          </cell>
          <cell r="G384">
            <v>0.90476190476190477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0.98039215686274506</v>
          </cell>
        </row>
        <row r="388">
          <cell r="B388" t="str">
            <v>KC Subang</v>
          </cell>
          <cell r="G388">
            <v>0.97058823529411764</v>
          </cell>
        </row>
        <row r="389">
          <cell r="B389" t="str">
            <v>KC SUDIRMAN SEMANGGI</v>
          </cell>
          <cell r="G389">
            <v>0.91176470588235292</v>
          </cell>
        </row>
        <row r="390">
          <cell r="B390" t="str">
            <v>KC Sukabumi</v>
          </cell>
          <cell r="G390">
            <v>0.97674418604651159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0.97142857142857142</v>
          </cell>
        </row>
        <row r="397">
          <cell r="B397" t="str">
            <v>KC Sungguminasa</v>
          </cell>
          <cell r="G397">
            <v>0.98863636363636365</v>
          </cell>
        </row>
        <row r="398">
          <cell r="B398" t="str">
            <v>KC Surabaya Diponegoro</v>
          </cell>
          <cell r="G398">
            <v>0.97435897435897434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0.9642857142857143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0.98076923076923073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0.94594594594594594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0.97546012269938653</v>
          </cell>
        </row>
        <row r="412">
          <cell r="B412" t="str">
            <v>KC Tambun</v>
          </cell>
          <cell r="G412">
            <v>0.98734177215189878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0.94594594594594594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0.98666666666666669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0.99568965517241381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0.9555555555555556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0.9821428571428571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0.92307692307692313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0.88888888888888884</v>
          </cell>
        </row>
        <row r="433">
          <cell r="B433" t="str">
            <v>KC Tenggarong</v>
          </cell>
          <cell r="G433">
            <v>0.96491228070175439</v>
          </cell>
        </row>
        <row r="434">
          <cell r="B434" t="str">
            <v>KC Ternate</v>
          </cell>
          <cell r="G434">
            <v>0.97727272727272729</v>
          </cell>
        </row>
        <row r="435">
          <cell r="B435" t="str">
            <v>KC Timika</v>
          </cell>
          <cell r="G435">
            <v>0.95652173913043481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0.90909090909090906</v>
          </cell>
        </row>
        <row r="441">
          <cell r="B441" t="str">
            <v>KC Tulang Bawang</v>
          </cell>
          <cell r="G441">
            <v>0.94736842105263153</v>
          </cell>
        </row>
        <row r="442">
          <cell r="B442" t="str">
            <v>KC Tulungagung</v>
          </cell>
          <cell r="G442">
            <v>0.94444444444444442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0.99337748344370858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0.99285714285714288</v>
          </cell>
        </row>
        <row r="456">
          <cell r="B456" t="str">
            <v>KC Yogyakarta Cik Ditiro</v>
          </cell>
          <cell r="G456">
            <v>0.99333333333333329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0.90909090909090906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0.69230769230769229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0.98484848484848486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0.99236641221374045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0.93939393939393945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0.94736842105263153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0.90476190476190477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0.97142857142857142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0.63043478260869568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0.92307692307692313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0.95867768595041325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0.96551724137931039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0.95652173913043481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0.98076923076923073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0.77777777777777779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0.8666666666666667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0.9555555555555556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0.95454545454545459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0.91666666666666663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0.97435897435897434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0.95454545454545459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0.83333333333333337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0.95918367346938771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0.98245614035087714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0.98684210526315785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0.95238095238095233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0.94117647058823528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0.93333333333333335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0.95454545454545459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0.90476190476190477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0.86363636363636365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0.9196428571428571</v>
          </cell>
        </row>
        <row r="675">
          <cell r="B675" t="str">
            <v xml:space="preserve">KC SAMARINDA PELITA                     </v>
          </cell>
          <cell r="G675">
            <v>0.92307692307692313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0.97959183673469385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0.98550724637681164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0.97727272727272729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0.91304347826086951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0.89320388349514568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0.8571428571428571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0.96666666666666667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0.94736842105263153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0.94339622641509435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0.96153846153846156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0.95454545454545459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0.97872340425531912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0.97619047619047616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0.94444444444444442</v>
          </cell>
        </row>
        <row r="768">
          <cell r="B768" t="str">
            <v xml:space="preserve">KC SUDIRMAN SEMANGGI                    </v>
          </cell>
          <cell r="G768">
            <v>0.91176470588235292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0.9642857142857143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0.96296296296296291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0.95833333333333337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0.96153846153846156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0.97619047619047616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0.92592592592592593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0.96666666666666667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0.98148148148148151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0.99333333333333329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0.95454545454545459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0.93939393939393945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0.89130434782608692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0.94117647058823528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0.96666666666666667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0.93939393939393945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0.83333333333333337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0.9285714285714286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0.88888888888888884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0.99038461538461542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0.95238095238095233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0.90909090909090906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0.97058823529411764</v>
          </cell>
        </row>
      </sheetData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QWHJVTH2QUXRD35RRBDHXPGN2W">
      <xxl21:absoluteUrl r:id="rId2"/>
      <xxl21:relativeUrl r:id="rId3"/>
    </xxl21:alternateUrls>
    <sheetNames>
      <sheetName val="penilaian_STR"/>
      <sheetName val="penilaian_Bukan STR"/>
    </sheetNames>
    <sheetDataSet>
      <sheetData sheetId="0">
        <row r="2">
          <cell r="A2" t="str">
            <v>Nama Nasabah</v>
          </cell>
          <cell r="B2"/>
          <cell r="C2"/>
          <cell r="D2"/>
          <cell r="E2" t="str">
            <v>Floren Br Barus</v>
          </cell>
          <cell r="F2" t="str">
            <v>Ahmad Jureid Pulungan</v>
          </cell>
          <cell r="G2" t="str">
            <v>Maria Sovia Lau</v>
          </cell>
          <cell r="H2" t="str">
            <v>Pratikno Subagyo</v>
          </cell>
          <cell r="I2" t="str">
            <v>Razali Husein Se</v>
          </cell>
          <cell r="J2" t="str">
            <v>Kol Art B Sinuhaji Sip</v>
          </cell>
          <cell r="K2" t="str">
            <v>Linda Adiwono</v>
          </cell>
          <cell r="L2" t="str">
            <v>Sani William Widjaja</v>
          </cell>
          <cell r="M2" t="str">
            <v>Sri Endang</v>
          </cell>
          <cell r="N2" t="str">
            <v>Meroke Tetap Jaya</v>
          </cell>
          <cell r="O2" t="str">
            <v>PT Cinta Raja</v>
          </cell>
          <cell r="P2" t="str">
            <v xml:space="preserve">Samira Makmur Sejahtera           </v>
          </cell>
          <cell r="Q2" t="str">
            <v>RICWAN P TONDANG</v>
          </cell>
          <cell r="R2" t="str">
            <v>SUPARDI</v>
          </cell>
          <cell r="S2" t="str">
            <v xml:space="preserve">HIRVAN WIJAYA </v>
          </cell>
          <cell r="T2" t="str">
            <v>MUHAMMAD EKA ABIMANYU</v>
          </cell>
          <cell r="U2" t="str">
            <v>PUTRA MARIANUS TARIGAN</v>
          </cell>
          <cell r="V2" t="str">
            <v>FARID WAZDI</v>
          </cell>
          <cell r="W2" t="str">
            <v>TENGKU MAHYUDI</v>
          </cell>
          <cell r="X2" t="str">
            <v>ANDRE PANGESTU</v>
          </cell>
          <cell r="Y2" t="str">
            <v>SOPIAN HADI</v>
          </cell>
          <cell r="Z2" t="str">
            <v>ALVIN ADAM</v>
          </cell>
          <cell r="AA2" t="str">
            <v>FARHAN ADRIAN</v>
          </cell>
          <cell r="AB2" t="str">
            <v>M. ALFAIZ ZAHY MUFLIH</v>
          </cell>
          <cell r="AC2" t="str">
            <v>MUHAMMAD GALIH RAMADHAN</v>
          </cell>
          <cell r="AD2" t="str">
            <v>PT MARSAMO JAYANA NAJOGI</v>
          </cell>
          <cell r="AE2" t="str">
            <v>SAPADIA WISATA</v>
          </cell>
          <cell r="AF2" t="str">
            <v>CV TIARA</v>
          </cell>
          <cell r="AG2" t="str">
            <v>EVA</v>
          </cell>
          <cell r="AH2" t="str">
            <v>SULASMI</v>
          </cell>
          <cell r="AI2"/>
          <cell r="AJ2"/>
        </row>
        <row r="44">
          <cell r="B44"/>
          <cell r="E44">
            <v>2.4375</v>
          </cell>
          <cell r="F44">
            <v>2.5718750000000004</v>
          </cell>
          <cell r="G44">
            <v>2.7874999999999996</v>
          </cell>
          <cell r="H44">
            <v>2.8656249999999996</v>
          </cell>
          <cell r="I44">
            <v>3.2562500000000001</v>
          </cell>
          <cell r="J44">
            <v>3.0638392857142858</v>
          </cell>
          <cell r="K44">
            <v>2.7071428571428573</v>
          </cell>
          <cell r="L44">
            <v>2.5696428571428571</v>
          </cell>
          <cell r="M44">
            <v>2.7008928571428568</v>
          </cell>
          <cell r="N44">
            <v>2.5875000000000004</v>
          </cell>
          <cell r="O44">
            <v>2.9366071428571425</v>
          </cell>
          <cell r="P44">
            <v>3.2272321428571424</v>
          </cell>
          <cell r="Q44">
            <v>2.3218750000000004</v>
          </cell>
          <cell r="R44">
            <v>2.7125000000000004</v>
          </cell>
          <cell r="S44">
            <v>2.734375</v>
          </cell>
          <cell r="T44">
            <v>3.0906249999999997</v>
          </cell>
          <cell r="U44">
            <v>3.1968749999999999</v>
          </cell>
          <cell r="V44">
            <v>2.5397321428571429</v>
          </cell>
          <cell r="W44">
            <v>3.0075892857142859</v>
          </cell>
          <cell r="X44">
            <v>3.0169642857142858</v>
          </cell>
          <cell r="Y44">
            <v>3.125892857142857</v>
          </cell>
          <cell r="Z44">
            <v>2.9794642857142857</v>
          </cell>
          <cell r="AA44">
            <v>2.452232142857143</v>
          </cell>
          <cell r="AB44">
            <v>2.4772321428571429</v>
          </cell>
          <cell r="AC44">
            <v>2.3888392857142859</v>
          </cell>
          <cell r="AD44">
            <v>2.3959821428571431</v>
          </cell>
          <cell r="AE44">
            <v>2.4093749999999998</v>
          </cell>
          <cell r="AF44">
            <v>2.7995535714285711</v>
          </cell>
          <cell r="AG44">
            <v>3.1241071428571425</v>
          </cell>
          <cell r="AH44">
            <v>3.2022321428571425</v>
          </cell>
          <cell r="AJ44">
            <v>2.7895684523809523</v>
          </cell>
          <cell r="AK44" t="str">
            <v>BAIK (B)</v>
          </cell>
        </row>
      </sheetData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AD63"/>
  <sheetViews>
    <sheetView topLeftCell="D1" workbookViewId="0">
      <selection activeCell="Y1" sqref="Y1:Y1048576"/>
    </sheetView>
  </sheetViews>
  <sheetFormatPr defaultRowHeight="14.45"/>
  <cols>
    <col min="1" max="1" width="10.140625" bestFit="1" customWidth="1"/>
    <col min="2" max="2" width="41.7109375" bestFit="1" customWidth="1"/>
    <col min="3" max="3" width="10.140625" bestFit="1" customWidth="1"/>
    <col min="4" max="4" width="19.42578125" bestFit="1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15.28515625" bestFit="1" customWidth="1"/>
    <col min="23" max="23" width="10" customWidth="1"/>
    <col min="26" max="26" width="20.140625" bestFit="1" customWidth="1"/>
  </cols>
  <sheetData>
    <row r="1" spans="1:30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30">
      <c r="A2" s="8" cm="1">
        <f t="array" ref="A2:U63">_xlfn._xlws.FILTER('[3]STR-2026-8-2026-8'!$A:$U, ISNUMBER(SEARCH("Medan", '[3]STR-2026-8-2026-8'!$O:$O)), "")</f>
        <v>46265</v>
      </c>
      <c r="B2" s="9" t="str">
        <v xml:space="preserve">ANDRE PANGESTU                          </v>
      </c>
      <c r="C2" s="9" t="str">
        <v>ADXYK74</v>
      </c>
      <c r="D2" s="9">
        <v>23801093444509</v>
      </c>
      <c r="E2" s="9">
        <v>0</v>
      </c>
      <c r="F2" s="9" t="str">
        <v>Tidak</v>
      </c>
      <c r="G2" s="9" t="str">
        <v>Tidak</v>
      </c>
      <c r="H2" s="9">
        <v>0</v>
      </c>
      <c r="I2" s="9" t="str">
        <v>Jual Beli Rekening - E channel Trx</v>
      </c>
      <c r="J2" s="9">
        <v>33</v>
      </c>
      <c r="K2" s="9">
        <v>113</v>
      </c>
      <c r="L2" s="9" t="str">
        <v>Narkotika/Judi Online/Penipuan</v>
      </c>
      <c r="M2" s="9" t="str">
        <v xml:space="preserve">KC Binjai                               </v>
      </c>
      <c r="N2" s="9" t="str">
        <v xml:space="preserve">KC Binjai                               </v>
      </c>
      <c r="O2" s="9" t="str">
        <v xml:space="preserve">Medan                                   </v>
      </c>
      <c r="P2" s="9">
        <v>0</v>
      </c>
      <c r="Q2" s="9">
        <v>0</v>
      </c>
      <c r="R2" s="9" t="str">
        <v>Belum TL</v>
      </c>
      <c r="S2" s="9" t="str">
        <v>Belum TL</v>
      </c>
      <c r="T2" s="9">
        <v>0</v>
      </c>
      <c r="U2" s="9" t="str">
        <v>"-"</v>
      </c>
      <c r="V2" s="12" t="s">
        <v>24</v>
      </c>
      <c r="W2" s="13">
        <v>46241</v>
      </c>
      <c r="X2" s="14" t="b">
        <v>1</v>
      </c>
      <c r="Y2">
        <f>_xlfn.XLOOKUP(TRIM(B2), [4]penilaian_STR!$2:$2, [4]penilaian_STR!$44:$44, "")</f>
        <v>3.0169642857142858</v>
      </c>
      <c r="AC2" t="str">
        <f>TRIM(B2)</f>
        <v>ANDRE PANGESTU</v>
      </c>
      <c r="AD2" t="s">
        <v>25</v>
      </c>
    </row>
    <row r="3" spans="1:30">
      <c r="A3" s="8">
        <v>46265</v>
      </c>
      <c r="B3" s="9" t="str">
        <v xml:space="preserve">ALVIN ADAM                              </v>
      </c>
      <c r="C3" s="9" t="str">
        <v>AEYSY93</v>
      </c>
      <c r="D3" s="9">
        <v>23801097339502</v>
      </c>
      <c r="E3" s="9">
        <v>0</v>
      </c>
      <c r="F3" s="9" t="str">
        <v>Tidak</v>
      </c>
      <c r="G3" s="9" t="str">
        <v>Tidak</v>
      </c>
      <c r="H3" s="9">
        <v>0</v>
      </c>
      <c r="I3" s="9" t="str">
        <v>Jual Beli Rekening - E channel Trx</v>
      </c>
      <c r="J3" s="9">
        <v>33</v>
      </c>
      <c r="K3" s="9">
        <v>113</v>
      </c>
      <c r="L3" s="9" t="str">
        <v>Narkotika/Judi Online/Penipuan</v>
      </c>
      <c r="M3" s="9" t="str">
        <v xml:space="preserve">KC Binjai                               </v>
      </c>
      <c r="N3" s="9" t="str">
        <v xml:space="preserve">KC Binjai                               </v>
      </c>
      <c r="O3" s="9" t="str">
        <v xml:space="preserve">Medan                                   </v>
      </c>
      <c r="P3" s="9">
        <v>0</v>
      </c>
      <c r="Q3" s="9">
        <v>0</v>
      </c>
      <c r="R3" s="9" t="str">
        <v>Belum TL</v>
      </c>
      <c r="S3" s="9" t="str">
        <v>Belum TL</v>
      </c>
      <c r="T3" s="9">
        <v>0</v>
      </c>
      <c r="U3" s="9" t="str">
        <v>"-"</v>
      </c>
      <c r="V3" s="12" t="s">
        <v>24</v>
      </c>
      <c r="W3" s="13">
        <v>46241</v>
      </c>
      <c r="X3" s="14" t="b">
        <v>1</v>
      </c>
      <c r="Y3">
        <f>_xlfn.XLOOKUP(TRIM(B3), [4]penilaian_STR!$2:$2, [4]penilaian_STR!$44:$44, "")</f>
        <v>2.9794642857142857</v>
      </c>
      <c r="Z3" s="48" t="s">
        <v>24</v>
      </c>
      <c r="AA3" t="s">
        <v>26</v>
      </c>
      <c r="AB3">
        <f>COUNTIFS($V:$V, Z3, X:X, "TRUE")</f>
        <v>14</v>
      </c>
      <c r="AC3" t="str">
        <f t="shared" ref="AC3:AC63" si="0">TRIM(B3)</f>
        <v>ALVIN ADAM</v>
      </c>
      <c r="AD3" t="s">
        <v>27</v>
      </c>
    </row>
    <row r="4" spans="1:30">
      <c r="A4" s="8">
        <v>46265</v>
      </c>
      <c r="B4" s="9" t="str">
        <v xml:space="preserve">ABDULLAH                                </v>
      </c>
      <c r="C4" s="9" t="str">
        <v>AVH4880</v>
      </c>
      <c r="D4" s="9">
        <v>621701051854538</v>
      </c>
      <c r="E4" s="9" t="str">
        <v>SEDANG</v>
      </c>
      <c r="F4" s="9" t="str">
        <v>Tidak</v>
      </c>
      <c r="G4" s="9" t="str">
        <v>Tidak</v>
      </c>
      <c r="H4" s="9" t="str">
        <v>Tidak</v>
      </c>
      <c r="I4" s="9" t="str">
        <v>Pencurian Rekening</v>
      </c>
      <c r="J4" s="9">
        <v>50</v>
      </c>
      <c r="K4" s="9">
        <v>58</v>
      </c>
      <c r="L4" s="9" t="str">
        <v>Perbankan</v>
      </c>
      <c r="M4" s="9" t="str">
        <v xml:space="preserve">KC BANDA ACEH CUT MEUTIA                </v>
      </c>
      <c r="N4" s="9" t="str">
        <v xml:space="preserve">KANWIL Medan                            </v>
      </c>
      <c r="O4" s="9" t="str">
        <v xml:space="preserve">Medan                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 t="str">
        <v>90171841 - Rifqi Aziz</v>
      </c>
      <c r="U4" s="9" t="str">
        <v>"-"</v>
      </c>
      <c r="V4" s="12" t="s">
        <v>28</v>
      </c>
      <c r="W4" s="13">
        <v>46241</v>
      </c>
      <c r="X4" s="14" t="b">
        <v>1</v>
      </c>
      <c r="Y4" t="str">
        <f>_xlfn.XLOOKUP(TRIM(B4), [4]penilaian_STR!$2:$2, [4]penilaian_STR!$44:$44, "")</f>
        <v/>
      </c>
      <c r="Z4" s="48"/>
      <c r="AA4" t="s">
        <v>29</v>
      </c>
      <c r="AB4">
        <f>COUNTIF(V:V,Z3)</f>
        <v>14</v>
      </c>
      <c r="AC4" t="str">
        <f t="shared" si="0"/>
        <v>ABDULLAH</v>
      </c>
      <c r="AD4" t="s">
        <v>30</v>
      </c>
    </row>
    <row r="5" spans="1:30">
      <c r="A5" s="8">
        <v>46265</v>
      </c>
      <c r="B5" s="9" t="str">
        <v xml:space="preserve">CINTA RAJA                              </v>
      </c>
      <c r="C5" s="9" t="str">
        <v>C060929</v>
      </c>
      <c r="D5" s="9">
        <v>69401888333569</v>
      </c>
      <c r="E5" s="9" t="str">
        <v>TINGGI</v>
      </c>
      <c r="F5" s="9" t="str">
        <v>Tidak</v>
      </c>
      <c r="G5" s="9" t="str">
        <v>Tidak</v>
      </c>
      <c r="H5" s="9" t="str">
        <v>Tidak</v>
      </c>
      <c r="I5" s="9" t="str">
        <v>Perpajakan</v>
      </c>
      <c r="J5" s="9">
        <v>63</v>
      </c>
      <c r="K5" s="9">
        <v>1.33</v>
      </c>
      <c r="L5" s="9" t="str">
        <v>Perpajakan</v>
      </c>
      <c r="M5" s="9" t="str">
        <v xml:space="preserve">KCP KRAKATAU MEDAN                      </v>
      </c>
      <c r="N5" s="9" t="str">
        <v xml:space="preserve">KC Medan Putri Hijau                    </v>
      </c>
      <c r="O5" s="9" t="str">
        <v xml:space="preserve">Medan                                   </v>
      </c>
      <c r="P5" s="9">
        <v>0</v>
      </c>
      <c r="Q5" s="9">
        <v>0</v>
      </c>
      <c r="R5" s="9" t="str">
        <v>Belum TL</v>
      </c>
      <c r="S5" s="9" t="str">
        <v>Belum TL</v>
      </c>
      <c r="T5" s="9" t="str">
        <v>90185538 - Muhammad Fahikal Auz</v>
      </c>
      <c r="U5" s="9" t="str">
        <v>"-"</v>
      </c>
      <c r="V5" s="12" t="s">
        <v>31</v>
      </c>
      <c r="W5" s="13">
        <v>46241</v>
      </c>
      <c r="X5" s="14" t="b">
        <v>1</v>
      </c>
      <c r="Y5" t="str">
        <f>_xlfn.XLOOKUP(TRIM(B5), [4]penilaian_STR!$2:$2, [4]penilaian_STR!$44:$44, "")</f>
        <v/>
      </c>
      <c r="Z5" s="48"/>
      <c r="AA5" t="s">
        <v>32</v>
      </c>
      <c r="AB5" s="27">
        <f>AB3/AB4</f>
        <v>1</v>
      </c>
      <c r="AC5" t="str">
        <f t="shared" si="0"/>
        <v>CINTA RAJA</v>
      </c>
      <c r="AD5" t="s">
        <v>33</v>
      </c>
    </row>
    <row r="6" spans="1:30">
      <c r="A6" s="8">
        <v>46265</v>
      </c>
      <c r="B6" s="9" t="str">
        <v xml:space="preserve">CV DHARINDO CORP                        </v>
      </c>
      <c r="C6" s="9" t="str">
        <v>CZ20634</v>
      </c>
      <c r="D6" s="9">
        <v>222701001543564</v>
      </c>
      <c r="E6" s="9">
        <v>0</v>
      </c>
      <c r="F6" s="9" t="str">
        <v>Tidak</v>
      </c>
      <c r="G6" s="9" t="str">
        <v>Tidak</v>
      </c>
      <c r="H6" s="9" t="str">
        <v>Tidak</v>
      </c>
      <c r="I6" s="9" t="str">
        <v>Business Email Compromise (BEC)</v>
      </c>
      <c r="J6" s="9">
        <v>30</v>
      </c>
      <c r="K6" s="9">
        <v>13</v>
      </c>
      <c r="L6" s="9" t="str">
        <v>Penipuan</v>
      </c>
      <c r="M6" s="9" t="str">
        <v xml:space="preserve">KCP RING ROAD                           </v>
      </c>
      <c r="N6" s="9" t="str">
        <v xml:space="preserve">KC Medan Iskandar Muda                  </v>
      </c>
      <c r="O6" s="9" t="str">
        <v xml:space="preserve">Medan                                   </v>
      </c>
      <c r="P6" s="9">
        <v>0</v>
      </c>
      <c r="Q6" s="9">
        <v>0</v>
      </c>
      <c r="R6" s="9" t="str">
        <v>Belum TL</v>
      </c>
      <c r="S6" s="9" t="str">
        <v>Belum TL</v>
      </c>
      <c r="T6" s="9" t="str">
        <v>90185537 - Moh.Khoerul Fajar Ar</v>
      </c>
      <c r="U6" s="9" t="str">
        <v>"-"</v>
      </c>
      <c r="V6" s="12" t="s">
        <v>34</v>
      </c>
      <c r="W6" s="13">
        <v>46241</v>
      </c>
      <c r="X6" s="14" t="b">
        <v>1</v>
      </c>
      <c r="Y6" t="str">
        <f>_xlfn.XLOOKUP(TRIM(B6), [4]penilaian_STR!$2:$2, [4]penilaian_STR!$44:$44, "")</f>
        <v/>
      </c>
      <c r="Z6" s="48" t="s">
        <v>28</v>
      </c>
      <c r="AA6" t="s">
        <v>26</v>
      </c>
      <c r="AB6">
        <f>COUNTIFS($V:$V, Z6, X:X, "TRUE")</f>
        <v>7</v>
      </c>
      <c r="AC6" t="str">
        <f t="shared" si="0"/>
        <v>CV DHARINDO CORP</v>
      </c>
      <c r="AD6" t="s">
        <v>35</v>
      </c>
    </row>
    <row r="7" spans="1:30">
      <c r="A7" s="8">
        <v>46265</v>
      </c>
      <c r="B7" s="9" t="str">
        <v xml:space="preserve">DEDE HANDOKO                            </v>
      </c>
      <c r="C7" s="9" t="str">
        <v>DFWZ832</v>
      </c>
      <c r="D7" s="9">
        <v>335201069347532</v>
      </c>
      <c r="E7" s="9">
        <v>0</v>
      </c>
      <c r="F7" s="9" t="str">
        <v>Tidak</v>
      </c>
      <c r="G7" s="9" t="str">
        <v>Tidak</v>
      </c>
      <c r="H7" s="9">
        <v>0</v>
      </c>
      <c r="I7" s="9" t="str">
        <v>Jual Beli Rekening - E channel Trx</v>
      </c>
      <c r="J7" s="9">
        <v>33</v>
      </c>
      <c r="K7" s="9">
        <v>113</v>
      </c>
      <c r="L7" s="9" t="str">
        <v>Narkotika/Judi Online/Penipuan</v>
      </c>
      <c r="M7" s="9" t="str">
        <v xml:space="preserve">UNIT PASAR HORAS                        </v>
      </c>
      <c r="N7" s="9" t="str">
        <v xml:space="preserve">KC Pematang Siantar                     </v>
      </c>
      <c r="O7" s="9" t="str">
        <v xml:space="preserve">Medan                                   </v>
      </c>
      <c r="P7" s="9">
        <v>0</v>
      </c>
      <c r="Q7" s="9">
        <v>0</v>
      </c>
      <c r="R7" s="9" t="str">
        <v>Belum TL</v>
      </c>
      <c r="S7" s="9" t="str">
        <v>Belum TL</v>
      </c>
      <c r="T7" s="9">
        <v>0</v>
      </c>
      <c r="U7" s="9" t="str">
        <v>"-"</v>
      </c>
      <c r="V7" s="12" t="s">
        <v>24</v>
      </c>
      <c r="W7" s="13">
        <v>46241</v>
      </c>
      <c r="X7" s="14" t="b">
        <v>1</v>
      </c>
      <c r="Y7" t="str">
        <f>_xlfn.XLOOKUP(TRIM(B7), [4]penilaian_STR!$2:$2, [4]penilaian_STR!$44:$44, "")</f>
        <v/>
      </c>
      <c r="Z7" s="48"/>
      <c r="AA7" t="s">
        <v>29</v>
      </c>
      <c r="AB7">
        <f>COUNTIF(V:V,Z6)</f>
        <v>7</v>
      </c>
      <c r="AC7" t="str">
        <f t="shared" si="0"/>
        <v>DEDE HANDOKO</v>
      </c>
      <c r="AD7" t="s">
        <v>36</v>
      </c>
    </row>
    <row r="8" spans="1:30">
      <c r="A8" s="8">
        <v>46265</v>
      </c>
      <c r="B8" s="9" t="str">
        <v xml:space="preserve">EVA                                     </v>
      </c>
      <c r="C8" s="9" t="str">
        <v>EWA4533</v>
      </c>
      <c r="D8" s="9">
        <v>529401053024532</v>
      </c>
      <c r="E8" s="9">
        <v>0</v>
      </c>
      <c r="F8" s="9" t="str">
        <v>Tidak</v>
      </c>
      <c r="G8" s="9" t="str">
        <v>Tidak</v>
      </c>
      <c r="H8" s="9">
        <v>0</v>
      </c>
      <c r="I8" s="9" t="str">
        <v>Jual Beli Rekening - E channel Trx</v>
      </c>
      <c r="J8" s="9">
        <v>33</v>
      </c>
      <c r="K8" s="9">
        <v>113</v>
      </c>
      <c r="L8" s="9" t="str">
        <v>Narkotika/Judi Online/Penipuan</v>
      </c>
      <c r="M8" s="9" t="str">
        <v xml:space="preserve">UNIT SIMPANG KOLAM THAMRIN              </v>
      </c>
      <c r="N8" s="9" t="str">
        <v xml:space="preserve">KC Medan Thamrin                        </v>
      </c>
      <c r="O8" s="9" t="str">
        <v xml:space="preserve">Medan                                   </v>
      </c>
      <c r="P8" s="9">
        <v>0</v>
      </c>
      <c r="Q8" s="9">
        <v>0</v>
      </c>
      <c r="R8" s="9" t="str">
        <v>Belum TL</v>
      </c>
      <c r="S8" s="9" t="str">
        <v>Belum TL</v>
      </c>
      <c r="T8" s="9">
        <v>0</v>
      </c>
      <c r="U8" s="9" t="str">
        <v>"-"</v>
      </c>
      <c r="V8" s="12" t="s">
        <v>37</v>
      </c>
      <c r="W8" s="13">
        <v>46241</v>
      </c>
      <c r="X8" s="14" t="b">
        <v>1</v>
      </c>
      <c r="Y8">
        <f>_xlfn.XLOOKUP(TRIM(B8), [4]penilaian_STR!$2:$2, [4]penilaian_STR!$44:$44, "")</f>
        <v>3.1241071428571425</v>
      </c>
      <c r="Z8" s="48"/>
      <c r="AA8" t="s">
        <v>32</v>
      </c>
      <c r="AB8" s="27">
        <f>AB6/AB7</f>
        <v>1</v>
      </c>
      <c r="AC8" t="str">
        <f t="shared" si="0"/>
        <v>EVA</v>
      </c>
      <c r="AD8" t="s">
        <v>38</v>
      </c>
    </row>
    <row r="9" spans="1:30">
      <c r="A9" s="8">
        <v>46265</v>
      </c>
      <c r="B9" s="9" t="str">
        <v xml:space="preserve">FARHAN ADRIAN                           </v>
      </c>
      <c r="C9" s="9" t="str">
        <v>FPE3381</v>
      </c>
      <c r="D9" s="9">
        <v>108701018971509</v>
      </c>
      <c r="E9" s="9">
        <v>0</v>
      </c>
      <c r="F9" s="9" t="str">
        <v>Tidak</v>
      </c>
      <c r="G9" s="9" t="str">
        <v>Tidak</v>
      </c>
      <c r="H9" s="9">
        <v>0</v>
      </c>
      <c r="I9" s="9" t="str">
        <v>Jual Beli Rekening - E channel Trx</v>
      </c>
      <c r="J9" s="9">
        <v>33</v>
      </c>
      <c r="K9" s="9">
        <v>113</v>
      </c>
      <c r="L9" s="9" t="str">
        <v>Narkotika/Judi Online/Penipuan</v>
      </c>
      <c r="M9" s="9" t="str">
        <v xml:space="preserve">KCP GADJAHMADA                          </v>
      </c>
      <c r="N9" s="9" t="str">
        <v xml:space="preserve">KC Medan Iskandar Muda                  </v>
      </c>
      <c r="O9" s="9" t="str">
        <v xml:space="preserve">Medan                                   </v>
      </c>
      <c r="P9" s="9">
        <v>0</v>
      </c>
      <c r="Q9" s="9">
        <v>0</v>
      </c>
      <c r="R9" s="9" t="str">
        <v>Belum TL</v>
      </c>
      <c r="S9" s="9" t="str">
        <v>Belum TL</v>
      </c>
      <c r="T9" s="9">
        <v>0</v>
      </c>
      <c r="U9" s="9" t="str">
        <v>"-"</v>
      </c>
      <c r="V9" s="12" t="s">
        <v>34</v>
      </c>
      <c r="W9" s="13">
        <v>46241</v>
      </c>
      <c r="X9" s="14" t="b">
        <v>1</v>
      </c>
      <c r="Y9">
        <f>_xlfn.XLOOKUP(TRIM(B9), [4]penilaian_STR!$2:$2, [4]penilaian_STR!$44:$44, "")</f>
        <v>2.452232142857143</v>
      </c>
      <c r="Z9" s="48" t="s">
        <v>31</v>
      </c>
      <c r="AA9" t="s">
        <v>26</v>
      </c>
      <c r="AB9">
        <f>COUNTIFS($V:$V, Z9, X:X, "TRUE")</f>
        <v>16</v>
      </c>
      <c r="AC9" t="str">
        <f t="shared" si="0"/>
        <v>FARHAN ADRIAN</v>
      </c>
      <c r="AD9" t="s">
        <v>39</v>
      </c>
    </row>
    <row r="10" spans="1:30">
      <c r="A10" s="8">
        <v>46265</v>
      </c>
      <c r="B10" s="9" t="str">
        <v xml:space="preserve">HUSAINI                                 </v>
      </c>
      <c r="C10" s="9" t="str">
        <v>HCAF912</v>
      </c>
      <c r="D10" s="9">
        <v>69401036018507</v>
      </c>
      <c r="E10" s="9">
        <v>0</v>
      </c>
      <c r="F10" s="9" t="str">
        <v>Tidak</v>
      </c>
      <c r="G10" s="9" t="str">
        <v>Tidak</v>
      </c>
      <c r="H10" s="9">
        <v>0</v>
      </c>
      <c r="I10" s="9" t="str">
        <v>Jual Beli Rekening - E channel Trx</v>
      </c>
      <c r="J10" s="9">
        <v>33</v>
      </c>
      <c r="K10" s="9">
        <v>113</v>
      </c>
      <c r="L10" s="9" t="str">
        <v>Narkotika/Judi Online/Penipuan</v>
      </c>
      <c r="M10" s="9" t="str">
        <v xml:space="preserve">KCP KRAKATAU MEDAN                      </v>
      </c>
      <c r="N10" s="9" t="str">
        <v xml:space="preserve">KC Medan Putri Hijau                    </v>
      </c>
      <c r="O10" s="9" t="str">
        <v xml:space="preserve">Medan                                   </v>
      </c>
      <c r="P10" s="9">
        <v>0</v>
      </c>
      <c r="Q10" s="9">
        <v>0</v>
      </c>
      <c r="R10" s="9" t="str">
        <v>Belum TL</v>
      </c>
      <c r="S10" s="9" t="str">
        <v>Belum TL</v>
      </c>
      <c r="T10" s="9">
        <v>0</v>
      </c>
      <c r="U10" s="9" t="str">
        <v>"-"</v>
      </c>
      <c r="V10" s="12" t="s">
        <v>31</v>
      </c>
      <c r="W10" s="13">
        <v>46241</v>
      </c>
      <c r="X10" s="14" t="b">
        <v>1</v>
      </c>
      <c r="Y10" t="str">
        <f>_xlfn.XLOOKUP(TRIM(B10), [4]penilaian_STR!$2:$2, [4]penilaian_STR!$44:$44, "")</f>
        <v/>
      </c>
      <c r="Z10" s="48"/>
      <c r="AA10" t="s">
        <v>29</v>
      </c>
      <c r="AB10">
        <f>COUNTIF(V:V,Z9)</f>
        <v>16</v>
      </c>
      <c r="AC10" t="str">
        <f t="shared" si="0"/>
        <v>HUSAINI</v>
      </c>
      <c r="AD10" t="s">
        <v>40</v>
      </c>
    </row>
    <row r="11" spans="1:30">
      <c r="A11" s="8">
        <v>46265</v>
      </c>
      <c r="B11" s="9" t="str">
        <v xml:space="preserve">HARIS MATIUS SILAEN                     </v>
      </c>
      <c r="C11" s="9" t="str">
        <v>HNW9351</v>
      </c>
      <c r="D11" s="9">
        <v>206201038412502</v>
      </c>
      <c r="E11" s="9" t="str">
        <v>SEDANG</v>
      </c>
      <c r="F11" s="9" t="str">
        <v>Tidak</v>
      </c>
      <c r="G11" s="9" t="str">
        <v>Tidak</v>
      </c>
      <c r="H11" s="9" t="str">
        <v>Ya</v>
      </c>
      <c r="I11" s="9" t="str">
        <v>Narkotika - Area Lapas</v>
      </c>
      <c r="J11" s="9">
        <v>48</v>
      </c>
      <c r="K11" s="9">
        <v>48</v>
      </c>
      <c r="L11" s="9" t="str">
        <v>Narkotika</v>
      </c>
      <c r="M11" s="9" t="str">
        <v>KC Kota Pinang</v>
      </c>
      <c r="N11" s="9" t="str">
        <v>KC Kota Pinang</v>
      </c>
      <c r="O11" s="9" t="str">
        <v>Medan</v>
      </c>
      <c r="P11" s="9">
        <v>0</v>
      </c>
      <c r="Q11" s="9">
        <v>0</v>
      </c>
      <c r="R11" s="9" t="str">
        <v>Belum TL</v>
      </c>
      <c r="S11" s="9" t="str">
        <v>Belum TL</v>
      </c>
      <c r="T11" s="9" t="str">
        <v>90186790 - Muhammad Alfin Farha</v>
      </c>
      <c r="U11" s="9" t="str">
        <v>"-"</v>
      </c>
      <c r="V11" s="12" t="s">
        <v>37</v>
      </c>
      <c r="W11" s="13">
        <v>46241</v>
      </c>
      <c r="X11" s="14" t="b">
        <v>1</v>
      </c>
      <c r="Y11" t="str">
        <f>_xlfn.XLOOKUP(TRIM(B11), [4]penilaian_STR!$2:$2, [4]penilaian_STR!$44:$44, "")</f>
        <v/>
      </c>
      <c r="Z11" s="48"/>
      <c r="AA11" t="s">
        <v>32</v>
      </c>
      <c r="AB11" s="27">
        <f>AB9/AB10</f>
        <v>1</v>
      </c>
      <c r="AC11" t="str">
        <f t="shared" si="0"/>
        <v>HARIS MATIUS SILAEN</v>
      </c>
      <c r="AD11" t="s">
        <v>41</v>
      </c>
    </row>
    <row r="12" spans="1:30">
      <c r="A12" s="8">
        <v>46265</v>
      </c>
      <c r="B12" s="9" t="str">
        <v xml:space="preserve">HASMERI                                 </v>
      </c>
      <c r="C12" s="9" t="str">
        <v>HTF8991</v>
      </c>
      <c r="D12" s="9">
        <v>40401089317509</v>
      </c>
      <c r="E12" s="9">
        <v>0</v>
      </c>
      <c r="F12" s="9" t="str">
        <v>Tidak</v>
      </c>
      <c r="G12" s="9" t="str">
        <v>Tidak</v>
      </c>
      <c r="H12" s="9">
        <v>0</v>
      </c>
      <c r="I12" s="9" t="str">
        <v>Jual Beli Rekening - E channel Trx</v>
      </c>
      <c r="J12" s="9">
        <v>33</v>
      </c>
      <c r="K12" s="9">
        <v>113</v>
      </c>
      <c r="L12" s="9" t="str">
        <v>Narkotika/Judi Online/Penipuan</v>
      </c>
      <c r="M12" s="9" t="str">
        <v xml:space="preserve">KC Medan Gatot Subroto                  </v>
      </c>
      <c r="N12" s="9" t="str">
        <v xml:space="preserve">KC Medan Gatot Subroto                  </v>
      </c>
      <c r="O12" s="9" t="str">
        <v xml:space="preserve">Medan                                   </v>
      </c>
      <c r="P12" s="9">
        <v>0</v>
      </c>
      <c r="Q12" s="9">
        <v>0</v>
      </c>
      <c r="R12" s="9" t="str">
        <v>Belum TL</v>
      </c>
      <c r="S12" s="9" t="str">
        <v>Belum TL</v>
      </c>
      <c r="T12" s="9">
        <v>0</v>
      </c>
      <c r="U12" s="9" t="str">
        <v>"-"</v>
      </c>
      <c r="V12" s="12" t="s">
        <v>37</v>
      </c>
      <c r="W12" s="13">
        <v>46241</v>
      </c>
      <c r="X12" s="14" t="b">
        <v>1</v>
      </c>
      <c r="Y12" t="str">
        <f>_xlfn.XLOOKUP(TRIM(B12), [4]penilaian_STR!$2:$2, [4]penilaian_STR!$44:$44, "")</f>
        <v/>
      </c>
      <c r="Z12" s="48" t="s">
        <v>34</v>
      </c>
      <c r="AA12" t="s">
        <v>26</v>
      </c>
      <c r="AB12">
        <f>COUNTIFS($V:$V, Z12, X:X, "TRUE")</f>
        <v>11</v>
      </c>
      <c r="AC12" t="str">
        <f t="shared" si="0"/>
        <v>HASMERI</v>
      </c>
      <c r="AD12" t="s">
        <v>42</v>
      </c>
    </row>
    <row r="13" spans="1:30">
      <c r="A13" s="8">
        <v>46265</v>
      </c>
      <c r="B13" s="9" t="str">
        <v xml:space="preserve">ICHSAN ANDARA                           </v>
      </c>
      <c r="C13" s="9" t="str">
        <v>ICTS631</v>
      </c>
      <c r="D13" s="9">
        <v>158701002935507</v>
      </c>
      <c r="E13" s="9">
        <v>0</v>
      </c>
      <c r="F13" s="9" t="str">
        <v>Tidak</v>
      </c>
      <c r="G13" s="9" t="str">
        <v>Tidak</v>
      </c>
      <c r="H13" s="9">
        <v>0</v>
      </c>
      <c r="I13" s="9" t="str">
        <v>Jual Beli Rekening - E channel Trx</v>
      </c>
      <c r="J13" s="9">
        <v>33</v>
      </c>
      <c r="K13" s="9">
        <v>113</v>
      </c>
      <c r="L13" s="9" t="str">
        <v>Narkotika/Judi Online/Penipuan</v>
      </c>
      <c r="M13" s="9" t="str">
        <v xml:space="preserve">KK PASAR RAME                           </v>
      </c>
      <c r="N13" s="9" t="str">
        <v xml:space="preserve">KC Medan Thamrin                        </v>
      </c>
      <c r="O13" s="9" t="str">
        <v xml:space="preserve">Medan                                   </v>
      </c>
      <c r="P13" s="9">
        <v>0</v>
      </c>
      <c r="Q13" s="9">
        <v>0</v>
      </c>
      <c r="R13" s="9" t="str">
        <v>Belum TL</v>
      </c>
      <c r="S13" s="9" t="str">
        <v>Belum TL</v>
      </c>
      <c r="T13" s="9">
        <v>0</v>
      </c>
      <c r="U13" s="9" t="str">
        <v>"-"</v>
      </c>
      <c r="V13" s="12" t="s">
        <v>37</v>
      </c>
      <c r="W13" s="13">
        <v>46241</v>
      </c>
      <c r="X13" s="14" t="b">
        <v>1</v>
      </c>
      <c r="Y13" t="str">
        <f>_xlfn.XLOOKUP(TRIM(B13), [4]penilaian_STR!$2:$2, [4]penilaian_STR!$44:$44, "")</f>
        <v/>
      </c>
      <c r="Z13" s="48"/>
      <c r="AA13" t="s">
        <v>29</v>
      </c>
      <c r="AB13">
        <f>COUNTIF(V:V,Z12)</f>
        <v>11</v>
      </c>
      <c r="AC13" t="str">
        <f t="shared" si="0"/>
        <v>ICHSAN ANDARA</v>
      </c>
      <c r="AD13" t="s">
        <v>43</v>
      </c>
    </row>
    <row r="14" spans="1:30">
      <c r="A14" s="8">
        <v>46265</v>
      </c>
      <c r="B14" s="9" t="str">
        <v xml:space="preserve">INDORASAPRIMA SUKSES MAKMUR             </v>
      </c>
      <c r="C14" s="9" t="str">
        <v>IDPK933</v>
      </c>
      <c r="D14" s="9">
        <v>11301003484309</v>
      </c>
      <c r="E14" s="9">
        <v>0</v>
      </c>
      <c r="F14" s="9" t="str">
        <v>Tidak</v>
      </c>
      <c r="G14" s="9" t="str">
        <v>Tidak</v>
      </c>
      <c r="H14" s="9" t="str">
        <v>Tidak</v>
      </c>
      <c r="I14" s="9" t="str">
        <v>Perpajakan</v>
      </c>
      <c r="J14" s="9">
        <v>33</v>
      </c>
      <c r="K14" s="9">
        <v>41</v>
      </c>
      <c r="L14" s="9" t="str">
        <v>Perpajakan</v>
      </c>
      <c r="M14" s="9" t="str">
        <v xml:space="preserve">KC Pematang Siantar                     </v>
      </c>
      <c r="N14" s="9" t="str">
        <v xml:space="preserve">KC Pematang Siantar                     </v>
      </c>
      <c r="O14" s="9" t="str">
        <v xml:space="preserve">Medan                                   </v>
      </c>
      <c r="P14" s="9">
        <v>0</v>
      </c>
      <c r="Q14" s="9">
        <v>0</v>
      </c>
      <c r="R14" s="9" t="str">
        <v>Belum TL</v>
      </c>
      <c r="S14" s="9" t="str">
        <v>Belum TL</v>
      </c>
      <c r="T14" s="9" t="str">
        <v>90185537 - Moh.Khoerul Fajar Ar</v>
      </c>
      <c r="U14" s="9" t="str">
        <v>"-"</v>
      </c>
      <c r="V14" s="12" t="s">
        <v>24</v>
      </c>
      <c r="W14" s="13">
        <v>46241</v>
      </c>
      <c r="X14" s="14" t="b">
        <v>1</v>
      </c>
      <c r="Y14" t="str">
        <f>_xlfn.XLOOKUP(TRIM(B14), [4]penilaian_STR!$2:$2, [4]penilaian_STR!$44:$44, "")</f>
        <v/>
      </c>
      <c r="Z14" s="48"/>
      <c r="AA14" t="s">
        <v>32</v>
      </c>
      <c r="AB14" s="27">
        <f>AB12/AB13</f>
        <v>1</v>
      </c>
      <c r="AC14" t="str">
        <f t="shared" si="0"/>
        <v>INDORASAPRIMA SUKSES MAKMUR</v>
      </c>
      <c r="AD14" t="s">
        <v>44</v>
      </c>
    </row>
    <row r="15" spans="1:30">
      <c r="A15" s="8">
        <v>46265</v>
      </c>
      <c r="B15" s="9" t="str">
        <v xml:space="preserve">INDRA WADI                              </v>
      </c>
      <c r="C15" s="9" t="str">
        <v>IMQ2459</v>
      </c>
      <c r="D15" s="9">
        <v>533601012159534</v>
      </c>
      <c r="E15" s="9" t="str">
        <v>SEDANG</v>
      </c>
      <c r="F15" s="9" t="str">
        <v>Tidak</v>
      </c>
      <c r="G15" s="9" t="str">
        <v>Tidak</v>
      </c>
      <c r="H15" s="9" t="str">
        <v>Tidak</v>
      </c>
      <c r="I15" s="9" t="str">
        <v>Narkotika - Area Lapas</v>
      </c>
      <c r="J15" s="9">
        <v>50</v>
      </c>
      <c r="K15" s="9">
        <v>46</v>
      </c>
      <c r="L15" s="9" t="str">
        <v>Narkotika</v>
      </c>
      <c r="M15" s="9" t="str">
        <v>UNIT MUARA SOMA PANYABUNGAN</v>
      </c>
      <c r="N15" s="9" t="str">
        <v>KC Panyabungan</v>
      </c>
      <c r="O15" s="9" t="str">
        <v>Medan</v>
      </c>
      <c r="P15" s="9">
        <v>0</v>
      </c>
      <c r="Q15" s="9">
        <v>0</v>
      </c>
      <c r="R15" s="9" t="str">
        <v>Belum TL</v>
      </c>
      <c r="S15" s="9" t="str">
        <v>Belum TL</v>
      </c>
      <c r="T15" s="9" t="str">
        <v>90186790 - Muhammad Alfin Farha</v>
      </c>
      <c r="U15" s="9" t="str">
        <v>"-"</v>
      </c>
      <c r="V15" s="12" t="s">
        <v>24</v>
      </c>
      <c r="W15" s="13">
        <v>46241</v>
      </c>
      <c r="X15" s="14" t="b">
        <v>1</v>
      </c>
      <c r="Y15" t="str">
        <f>_xlfn.XLOOKUP(TRIM(B15), [4]penilaian_STR!$2:$2, [4]penilaian_STR!$44:$44, "")</f>
        <v/>
      </c>
      <c r="AC15" t="str">
        <f t="shared" si="0"/>
        <v>INDRA WADI</v>
      </c>
      <c r="AD15" t="s">
        <v>45</v>
      </c>
    </row>
    <row r="16" spans="1:30">
      <c r="A16" s="8">
        <v>46265</v>
      </c>
      <c r="B16" s="9" t="str">
        <v xml:space="preserve">IMRON HARAHAP                           </v>
      </c>
      <c r="C16" s="9" t="str">
        <v>IO81279</v>
      </c>
      <c r="D16" s="9">
        <v>109701000432564</v>
      </c>
      <c r="E16" s="9" t="str">
        <v>TINGGI</v>
      </c>
      <c r="F16" s="9" t="str">
        <v>Tidak</v>
      </c>
      <c r="G16" s="9" t="str">
        <v>Tidak</v>
      </c>
      <c r="H16" s="9" t="str">
        <v>Tidak</v>
      </c>
      <c r="I16" s="9" t="str">
        <v>Perpajakan</v>
      </c>
      <c r="J16" s="9">
        <v>73</v>
      </c>
      <c r="K16" s="9">
        <v>1.33</v>
      </c>
      <c r="L16" s="9" t="str">
        <v>Perpajakan</v>
      </c>
      <c r="M16" s="9" t="str">
        <v xml:space="preserve">KC Sibuhuan                             </v>
      </c>
      <c r="N16" s="9" t="str">
        <v xml:space="preserve">KC Sibuhuan                             </v>
      </c>
      <c r="O16" s="9" t="str">
        <v xml:space="preserve">Medan                                   </v>
      </c>
      <c r="P16" s="9">
        <v>0</v>
      </c>
      <c r="Q16" s="9">
        <v>0</v>
      </c>
      <c r="R16" s="9" t="str">
        <v>Belum TL</v>
      </c>
      <c r="S16" s="9" t="str">
        <v>Belum TL</v>
      </c>
      <c r="T16" s="9" t="str">
        <v>90185537 - Moh.Khoerul Fajar Ar</v>
      </c>
      <c r="U16" s="9" t="str">
        <v>"-"</v>
      </c>
      <c r="V16" s="12" t="s">
        <v>34</v>
      </c>
      <c r="W16" s="13">
        <v>46241</v>
      </c>
      <c r="X16" s="14" t="b">
        <v>1</v>
      </c>
      <c r="Y16" t="str">
        <f>_xlfn.XLOOKUP(TRIM(B16), [4]penilaian_STR!$2:$2, [4]penilaian_STR!$44:$44, "")</f>
        <v/>
      </c>
      <c r="AC16" t="str">
        <f t="shared" si="0"/>
        <v>IMRON HARAHAP</v>
      </c>
      <c r="AD16" t="s">
        <v>46</v>
      </c>
    </row>
    <row r="17" spans="1:30">
      <c r="A17" s="8">
        <v>46265</v>
      </c>
      <c r="B17" s="9" t="str">
        <v xml:space="preserve">IRAWATI PONTOH                          </v>
      </c>
      <c r="C17" s="9" t="str">
        <v>IX49020</v>
      </c>
      <c r="D17" s="9">
        <v>523201033906538</v>
      </c>
      <c r="E17" s="9" t="str">
        <v>SEDANG</v>
      </c>
      <c r="F17" s="9" t="str">
        <v>Tidak</v>
      </c>
      <c r="G17" s="9" t="str">
        <v>Tidak</v>
      </c>
      <c r="H17" s="9" t="str">
        <v>Tidak</v>
      </c>
      <c r="I17" s="9" t="str">
        <v>Pencurian Rekening</v>
      </c>
      <c r="J17" s="9">
        <v>49</v>
      </c>
      <c r="K17" s="9">
        <v>58</v>
      </c>
      <c r="L17" s="9" t="str">
        <v>Perbankan</v>
      </c>
      <c r="M17" s="9" t="str">
        <v xml:space="preserve">KC BANDA ACEH CUT MEUTIA                </v>
      </c>
      <c r="N17" s="9" t="str">
        <v xml:space="preserve">KANWIL Medan                            </v>
      </c>
      <c r="O17" s="9" t="str">
        <v xml:space="preserve">Medan                                   </v>
      </c>
      <c r="P17" s="9">
        <v>0</v>
      </c>
      <c r="Q17" s="9">
        <v>0</v>
      </c>
      <c r="R17" s="9" t="str">
        <v>Belum TL</v>
      </c>
      <c r="S17" s="9" t="str">
        <v>Belum TL</v>
      </c>
      <c r="T17" s="9" t="str">
        <v>90170665 - Mutiara Ayuningtyas</v>
      </c>
      <c r="U17" s="9" t="str">
        <v>"-"</v>
      </c>
      <c r="V17" s="12" t="s">
        <v>28</v>
      </c>
      <c r="W17" s="13">
        <v>46241</v>
      </c>
      <c r="X17" s="14" t="b">
        <v>1</v>
      </c>
      <c r="Y17" t="str">
        <f>_xlfn.XLOOKUP(TRIM(B17), [4]penilaian_STR!$2:$2, [4]penilaian_STR!$44:$44, "")</f>
        <v/>
      </c>
      <c r="AA17" t="str">
        <f>B2</f>
        <v xml:space="preserve">ANDRE PANGESTU                          </v>
      </c>
      <c r="AC17" t="str">
        <f t="shared" si="0"/>
        <v>IRAWATI PONTOH</v>
      </c>
      <c r="AD17" t="s">
        <v>47</v>
      </c>
    </row>
    <row r="18" spans="1:30">
      <c r="A18" s="8">
        <v>46265</v>
      </c>
      <c r="B18" s="9" t="str">
        <v xml:space="preserve">JOKO SUSILO SITORUS                     </v>
      </c>
      <c r="C18" s="9" t="str">
        <v>J641244</v>
      </c>
      <c r="D18" s="9">
        <v>63601001644561</v>
      </c>
      <c r="E18" s="9" t="str">
        <v>SEDANG</v>
      </c>
      <c r="F18" s="9" t="str">
        <v>Ya</v>
      </c>
      <c r="G18" s="9" t="str">
        <v>Tidak</v>
      </c>
      <c r="H18" s="9" t="str">
        <v>Tidak</v>
      </c>
      <c r="I18" s="9" t="str">
        <v>Narkotika - Area Lapas</v>
      </c>
      <c r="J18" s="9">
        <v>50</v>
      </c>
      <c r="K18" s="9">
        <v>46</v>
      </c>
      <c r="L18" s="9" t="str">
        <v>Narkotika</v>
      </c>
      <c r="M18" s="9" t="str">
        <v>KC Perdagangan</v>
      </c>
      <c r="N18" s="9" t="str">
        <v>KC Perdagangan</v>
      </c>
      <c r="O18" s="9" t="str">
        <v>Medan</v>
      </c>
      <c r="P18" s="9">
        <v>0</v>
      </c>
      <c r="Q18" s="9">
        <v>0</v>
      </c>
      <c r="R18" s="9" t="str">
        <v>Belum TL</v>
      </c>
      <c r="S18" s="9" t="str">
        <v>Belum TL</v>
      </c>
      <c r="T18" s="9" t="str">
        <v>90150130 - Intan Aida Pratiwi</v>
      </c>
      <c r="U18" s="9" t="str">
        <v>"-"</v>
      </c>
      <c r="V18" s="12" t="s">
        <v>34</v>
      </c>
      <c r="W18" s="13">
        <v>46241</v>
      </c>
      <c r="X18" s="14" t="b">
        <v>1</v>
      </c>
      <c r="Y18" t="str">
        <f>_xlfn.XLOOKUP(TRIM(B18), [4]penilaian_STR!$2:$2, [4]penilaian_STR!$44:$44, "")</f>
        <v/>
      </c>
      <c r="AC18" t="str">
        <f t="shared" si="0"/>
        <v>JOKO SUSILO SITORUS</v>
      </c>
      <c r="AD18" t="s">
        <v>48</v>
      </c>
    </row>
    <row r="19" spans="1:30">
      <c r="A19" s="8">
        <v>46265</v>
      </c>
      <c r="B19" s="9" t="str">
        <v xml:space="preserve">LILIANI                                 </v>
      </c>
      <c r="C19" s="9" t="str">
        <v>LGG4540</v>
      </c>
      <c r="D19" s="9">
        <v>804201040988537</v>
      </c>
      <c r="E19" s="9">
        <v>0</v>
      </c>
      <c r="F19" s="9" t="str">
        <v>Tidak</v>
      </c>
      <c r="G19" s="9" t="str">
        <v>Tidak</v>
      </c>
      <c r="H19" s="9">
        <v>0</v>
      </c>
      <c r="I19" s="9" t="str">
        <v>Jual Beli Rekening - E channel Trx</v>
      </c>
      <c r="J19" s="9">
        <v>33</v>
      </c>
      <c r="K19" s="9">
        <v>113</v>
      </c>
      <c r="L19" s="9" t="str">
        <v>Narkotika/Judi Online/Penipuan</v>
      </c>
      <c r="M19" s="9" t="str">
        <v xml:space="preserve">UNIT CINTA RAKYAT THAMRIN               </v>
      </c>
      <c r="N19" s="9" t="str">
        <v xml:space="preserve">KC Medan Thamrin                        </v>
      </c>
      <c r="O19" s="9" t="str">
        <v xml:space="preserve">Medan                                   </v>
      </c>
      <c r="P19" s="9">
        <v>0</v>
      </c>
      <c r="Q19" s="9">
        <v>0</v>
      </c>
      <c r="R19" s="9" t="str">
        <v>Belum TL</v>
      </c>
      <c r="S19" s="9" t="str">
        <v>Belum TL</v>
      </c>
      <c r="T19" s="9">
        <v>0</v>
      </c>
      <c r="U19" s="9" t="str">
        <v>"-"</v>
      </c>
      <c r="V19" s="12" t="s">
        <v>37</v>
      </c>
      <c r="W19" s="13">
        <v>46241</v>
      </c>
      <c r="X19" s="14" t="b">
        <v>1</v>
      </c>
      <c r="Y19" t="str">
        <f>_xlfn.XLOOKUP(TRIM(B19), [4]penilaian_STR!$2:$2, [4]penilaian_STR!$44:$44, "")</f>
        <v/>
      </c>
      <c r="AC19" t="str">
        <f t="shared" si="0"/>
        <v>LILIANI</v>
      </c>
      <c r="AD19" t="s">
        <v>49</v>
      </c>
    </row>
    <row r="20" spans="1:30">
      <c r="A20" s="8">
        <v>46265</v>
      </c>
      <c r="B20" s="9" t="str">
        <v xml:space="preserve">M. ALFAIZ ZAHY MUFLIH                   </v>
      </c>
      <c r="C20" s="9" t="str">
        <v>MFDGO03</v>
      </c>
      <c r="D20" s="9">
        <v>108701019440501</v>
      </c>
      <c r="E20" s="9">
        <v>0</v>
      </c>
      <c r="F20" s="9" t="str">
        <v>Tidak</v>
      </c>
      <c r="G20" s="9" t="str">
        <v>Tidak</v>
      </c>
      <c r="H20" s="9">
        <v>0</v>
      </c>
      <c r="I20" s="9" t="str">
        <v>Jual Beli Rekening - E channel Trx</v>
      </c>
      <c r="J20" s="9">
        <v>33</v>
      </c>
      <c r="K20" s="9">
        <v>113</v>
      </c>
      <c r="L20" s="9" t="str">
        <v>Narkotika/Judi Online/Penipuan</v>
      </c>
      <c r="M20" s="9" t="str">
        <v xml:space="preserve">KCP GADJAHMADA                          </v>
      </c>
      <c r="N20" s="9" t="str">
        <v xml:space="preserve">KC Medan Iskandar Muda                  </v>
      </c>
      <c r="O20" s="9" t="str">
        <v xml:space="preserve">Medan                                   </v>
      </c>
      <c r="P20" s="9">
        <v>0</v>
      </c>
      <c r="Q20" s="9">
        <v>0</v>
      </c>
      <c r="R20" s="9" t="str">
        <v>Belum TL</v>
      </c>
      <c r="S20" s="9" t="str">
        <v>Belum TL</v>
      </c>
      <c r="T20" s="9">
        <v>0</v>
      </c>
      <c r="U20" s="9" t="str">
        <v>"-"</v>
      </c>
      <c r="V20" s="12" t="s">
        <v>34</v>
      </c>
      <c r="W20" s="13">
        <v>46241</v>
      </c>
      <c r="X20" s="14" t="b">
        <v>1</v>
      </c>
      <c r="Y20">
        <f>_xlfn.XLOOKUP(TRIM(B20), [4]penilaian_STR!$2:$2, [4]penilaian_STR!$44:$44, "")</f>
        <v>2.4772321428571429</v>
      </c>
      <c r="AC20" t="str">
        <f t="shared" si="0"/>
        <v>M. ALFAIZ ZAHY MUFLIH</v>
      </c>
      <c r="AD20" t="s">
        <v>50</v>
      </c>
    </row>
    <row r="21" spans="1:30">
      <c r="A21" s="8">
        <v>46265</v>
      </c>
      <c r="B21" s="9" t="str">
        <v xml:space="preserve">MUHAMMAD RAFLI                          </v>
      </c>
      <c r="C21" s="9" t="str">
        <v>MQDG925</v>
      </c>
      <c r="D21" s="9">
        <v>69301025965505</v>
      </c>
      <c r="E21" s="9">
        <v>0</v>
      </c>
      <c r="F21" s="9" t="str">
        <v>Tidak</v>
      </c>
      <c r="G21" s="9" t="str">
        <v>Tidak</v>
      </c>
      <c r="H21" s="9">
        <v>0</v>
      </c>
      <c r="I21" s="9" t="str">
        <v>Jual Beli Rekening - E channel Trx</v>
      </c>
      <c r="J21" s="9">
        <v>33</v>
      </c>
      <c r="K21" s="9">
        <v>113</v>
      </c>
      <c r="L21" s="9" t="str">
        <v>Narkotika/Judi Online/Penipuan</v>
      </c>
      <c r="M21" s="9" t="str">
        <v xml:space="preserve">KCP AKSARA                              </v>
      </c>
      <c r="N21" s="9" t="str">
        <v xml:space="preserve">KC Medan Sisingamangaraja               </v>
      </c>
      <c r="O21" s="9" t="str">
        <v xml:space="preserve">Medan                                   </v>
      </c>
      <c r="P21" s="9">
        <v>0</v>
      </c>
      <c r="Q21" s="9">
        <v>0</v>
      </c>
      <c r="R21" s="9" t="str">
        <v>Belum TL</v>
      </c>
      <c r="S21" s="9" t="str">
        <v>Belum TL</v>
      </c>
      <c r="T21" s="9">
        <v>0</v>
      </c>
      <c r="U21" s="9" t="str">
        <v>"-"</v>
      </c>
      <c r="V21" s="12" t="s">
        <v>24</v>
      </c>
      <c r="W21" s="13">
        <v>46241</v>
      </c>
      <c r="X21" s="14" t="b">
        <v>1</v>
      </c>
      <c r="Y21" t="str">
        <f>_xlfn.XLOOKUP(TRIM(B21), [4]penilaian_STR!$2:$2, [4]penilaian_STR!$44:$44, "")</f>
        <v/>
      </c>
      <c r="AC21" t="str">
        <f t="shared" si="0"/>
        <v>MUHAMMAD RAFLI</v>
      </c>
      <c r="AD21" t="s">
        <v>51</v>
      </c>
    </row>
    <row r="22" spans="1:30">
      <c r="A22" s="8">
        <v>46265</v>
      </c>
      <c r="B22" s="9" t="str">
        <v xml:space="preserve">MUZAINAH                                </v>
      </c>
      <c r="C22" s="9" t="str">
        <v>MTNL180</v>
      </c>
      <c r="D22" s="9">
        <v>814701008014532</v>
      </c>
      <c r="E22" s="9" t="str">
        <v>SEDANG</v>
      </c>
      <c r="F22" s="9" t="str">
        <v>Tidak</v>
      </c>
      <c r="G22" s="9" t="str">
        <v>Tidak</v>
      </c>
      <c r="H22" s="9" t="str">
        <v>Tidak</v>
      </c>
      <c r="I22" s="9" t="str">
        <v>Pencurian Rekening</v>
      </c>
      <c r="J22" s="9">
        <v>49</v>
      </c>
      <c r="K22" s="9">
        <v>58</v>
      </c>
      <c r="L22" s="9" t="str">
        <v>Perbankan</v>
      </c>
      <c r="M22" s="9" t="str">
        <v xml:space="preserve">KC BANDA ACEH CUT MEUTIA                </v>
      </c>
      <c r="N22" s="9" t="str">
        <v xml:space="preserve">KANWIL Medan                            </v>
      </c>
      <c r="O22" s="9" t="str">
        <v xml:space="preserve">Medan                                   </v>
      </c>
      <c r="P22" s="9">
        <v>0</v>
      </c>
      <c r="Q22" s="9">
        <v>0</v>
      </c>
      <c r="R22" s="9" t="str">
        <v>Belum TL</v>
      </c>
      <c r="S22" s="9" t="str">
        <v>Belum TL</v>
      </c>
      <c r="T22" s="9" t="str">
        <v>90170665 - Mutiara Ayuningtyas</v>
      </c>
      <c r="U22" s="9" t="str">
        <v>"-"</v>
      </c>
      <c r="V22" s="12" t="s">
        <v>28</v>
      </c>
      <c r="W22" s="13">
        <v>46241</v>
      </c>
      <c r="X22" s="14" t="b">
        <v>1</v>
      </c>
      <c r="Y22" t="str">
        <f>_xlfn.XLOOKUP(TRIM(B22), [4]penilaian_STR!$2:$2, [4]penilaian_STR!$44:$44, "")</f>
        <v/>
      </c>
      <c r="AC22" t="str">
        <f t="shared" si="0"/>
        <v>MUZAINAH</v>
      </c>
      <c r="AD22" t="s">
        <v>52</v>
      </c>
    </row>
    <row r="23" spans="1:30">
      <c r="A23" s="8">
        <v>46265</v>
      </c>
      <c r="B23" s="9" t="str">
        <v xml:space="preserve">M SALEH                                 </v>
      </c>
      <c r="C23" s="9" t="str">
        <v>MVIP977</v>
      </c>
      <c r="D23" s="9">
        <v>109201053817501</v>
      </c>
      <c r="E23" s="9">
        <v>0</v>
      </c>
      <c r="F23" s="9" t="str">
        <v>Tidak</v>
      </c>
      <c r="G23" s="9" t="str">
        <v>Tidak</v>
      </c>
      <c r="H23" s="9">
        <v>0</v>
      </c>
      <c r="I23" s="9" t="str">
        <v>Jual Beli Rekening - E channel Trx</v>
      </c>
      <c r="J23" s="9">
        <v>33</v>
      </c>
      <c r="K23" s="9">
        <v>113</v>
      </c>
      <c r="L23" s="9" t="str">
        <v>Narkotika/Judi Online/Penipuan</v>
      </c>
      <c r="M23" s="9" t="str">
        <v xml:space="preserve">KCP TEMBUNG                             </v>
      </c>
      <c r="N23" s="9" t="str">
        <v xml:space="preserve">KC Medan Thamrin                        </v>
      </c>
      <c r="O23" s="9" t="str">
        <v xml:space="preserve">Medan                                   </v>
      </c>
      <c r="P23" s="9">
        <v>0</v>
      </c>
      <c r="Q23" s="9">
        <v>0</v>
      </c>
      <c r="R23" s="9" t="str">
        <v>Belum TL</v>
      </c>
      <c r="S23" s="9" t="str">
        <v>Belum TL</v>
      </c>
      <c r="T23" s="9">
        <v>0</v>
      </c>
      <c r="U23" s="9" t="str">
        <v>"-"</v>
      </c>
      <c r="V23" s="12" t="s">
        <v>37</v>
      </c>
      <c r="W23" s="13">
        <v>46241</v>
      </c>
      <c r="X23" s="14" t="b">
        <v>1</v>
      </c>
      <c r="Y23" t="str">
        <f>_xlfn.XLOOKUP(TRIM(B23), [4]penilaian_STR!$2:$2, [4]penilaian_STR!$44:$44, "")</f>
        <v/>
      </c>
      <c r="AC23" t="str">
        <f t="shared" si="0"/>
        <v>M SALEH</v>
      </c>
      <c r="AD23" t="s">
        <v>53</v>
      </c>
    </row>
    <row r="24" spans="1:30">
      <c r="A24" s="8">
        <v>46265</v>
      </c>
      <c r="B24" s="9" t="str">
        <v xml:space="preserve">MUCHLISIN HABIBIE                       </v>
      </c>
      <c r="C24" s="9" t="str">
        <v>MVIY748</v>
      </c>
      <c r="D24" s="9">
        <v>108301023789501</v>
      </c>
      <c r="E24" s="9">
        <v>0</v>
      </c>
      <c r="F24" s="9" t="str">
        <v>Tidak</v>
      </c>
      <c r="G24" s="9" t="str">
        <v>Tidak</v>
      </c>
      <c r="H24" s="9">
        <v>0</v>
      </c>
      <c r="I24" s="9" t="str">
        <v>Jual Beli Rekening - E channel Trx</v>
      </c>
      <c r="J24" s="9">
        <v>33</v>
      </c>
      <c r="K24" s="9">
        <v>113</v>
      </c>
      <c r="L24" s="9" t="str">
        <v>Narkotika/Judi Online/Penipuan</v>
      </c>
      <c r="M24" s="9" t="str">
        <v xml:space="preserve">KCP KESAWAN                             </v>
      </c>
      <c r="N24" s="9" t="str">
        <v xml:space="preserve">KC Medan Putri Hijau                    </v>
      </c>
      <c r="O24" s="9" t="str">
        <v xml:space="preserve">Medan                                   </v>
      </c>
      <c r="P24" s="9">
        <v>0</v>
      </c>
      <c r="Q24" s="9">
        <v>0</v>
      </c>
      <c r="R24" s="9" t="str">
        <v>Belum TL</v>
      </c>
      <c r="S24" s="9" t="str">
        <v>Belum TL</v>
      </c>
      <c r="T24" s="9">
        <v>0</v>
      </c>
      <c r="U24" s="9" t="str">
        <v>"-"</v>
      </c>
      <c r="V24" s="12" t="s">
        <v>31</v>
      </c>
      <c r="W24" s="13">
        <v>46241</v>
      </c>
      <c r="X24" s="14" t="b">
        <v>1</v>
      </c>
      <c r="Y24" t="str">
        <f>_xlfn.XLOOKUP(TRIM(B24), [4]penilaian_STR!$2:$2, [4]penilaian_STR!$44:$44, "")</f>
        <v/>
      </c>
      <c r="AC24" t="str">
        <f t="shared" si="0"/>
        <v>MUCHLISIN HABIBIE</v>
      </c>
      <c r="AD24" t="s">
        <v>54</v>
      </c>
    </row>
    <row r="25" spans="1:30">
      <c r="A25" s="8">
        <v>46265</v>
      </c>
      <c r="B25" s="9" t="str">
        <v xml:space="preserve">MAPPASESSU                              </v>
      </c>
      <c r="C25" s="9" t="str">
        <v>MVR1308</v>
      </c>
      <c r="D25" s="9">
        <v>769501017490539</v>
      </c>
      <c r="E25" s="9" t="str">
        <v>SEDANG</v>
      </c>
      <c r="F25" s="9" t="str">
        <v>Tidak</v>
      </c>
      <c r="G25" s="9" t="str">
        <v>Tidak</v>
      </c>
      <c r="H25" s="9" t="str">
        <v>Tidak</v>
      </c>
      <c r="I25" s="9" t="str">
        <v>Pencurian Rekening</v>
      </c>
      <c r="J25" s="9">
        <v>46</v>
      </c>
      <c r="K25" s="9">
        <v>58</v>
      </c>
      <c r="L25" s="9" t="str">
        <v>Perbankan</v>
      </c>
      <c r="M25" s="9" t="str">
        <v xml:space="preserve">KC BANDA ACEH CUT MEUTIA                </v>
      </c>
      <c r="N25" s="9" t="str">
        <v xml:space="preserve">KANWIL Medan                            </v>
      </c>
      <c r="O25" s="9" t="str">
        <v xml:space="preserve">Medan                                   </v>
      </c>
      <c r="P25" s="9">
        <v>0</v>
      </c>
      <c r="Q25" s="9">
        <v>0</v>
      </c>
      <c r="R25" s="9" t="str">
        <v>Belum TL</v>
      </c>
      <c r="S25" s="9" t="str">
        <v>Belum TL</v>
      </c>
      <c r="T25" s="9" t="str">
        <v>90186790 - Muhammad Alfin Farha</v>
      </c>
      <c r="U25" s="9" t="str">
        <v>"-"</v>
      </c>
      <c r="V25" s="12" t="s">
        <v>28</v>
      </c>
      <c r="W25" s="13">
        <v>46241</v>
      </c>
      <c r="X25" s="14" t="b">
        <v>1</v>
      </c>
      <c r="Y25" t="str">
        <f>_xlfn.XLOOKUP(TRIM(B25), [4]penilaian_STR!$2:$2, [4]penilaian_STR!$44:$44, "")</f>
        <v/>
      </c>
      <c r="AC25" t="str">
        <f t="shared" si="0"/>
        <v>MAPPASESSU</v>
      </c>
      <c r="AD25" t="s">
        <v>55</v>
      </c>
    </row>
    <row r="26" spans="1:30">
      <c r="A26" s="8">
        <v>46265</v>
      </c>
      <c r="B26" s="9" t="str">
        <v xml:space="preserve">NURUL HADI                              </v>
      </c>
      <c r="C26" s="9" t="str">
        <v>NMBS662</v>
      </c>
      <c r="D26" s="9">
        <v>115401034791502</v>
      </c>
      <c r="E26" s="9">
        <v>0</v>
      </c>
      <c r="F26" s="9" t="str">
        <v>Tidak</v>
      </c>
      <c r="G26" s="9" t="str">
        <v>Tidak</v>
      </c>
      <c r="H26" s="9">
        <v>0</v>
      </c>
      <c r="I26" s="9" t="str">
        <v>Jual Beli Rekening - E channel Trx</v>
      </c>
      <c r="J26" s="9">
        <v>33</v>
      </c>
      <c r="K26" s="9">
        <v>113</v>
      </c>
      <c r="L26" s="9" t="str">
        <v>Narkotika/Judi Online/Penipuan</v>
      </c>
      <c r="M26" s="9" t="str">
        <v xml:space="preserve">KCP DISKI                               </v>
      </c>
      <c r="N26" s="9" t="str">
        <v xml:space="preserve">KC Binjai                               </v>
      </c>
      <c r="O26" s="9" t="str">
        <v xml:space="preserve">Medan                                   </v>
      </c>
      <c r="P26" s="9">
        <v>0</v>
      </c>
      <c r="Q26" s="9">
        <v>0</v>
      </c>
      <c r="R26" s="9" t="str">
        <v>Belum TL</v>
      </c>
      <c r="S26" s="9" t="str">
        <v>Belum TL</v>
      </c>
      <c r="T26" s="9">
        <v>0</v>
      </c>
      <c r="U26" s="9" t="str">
        <v>"-"</v>
      </c>
      <c r="V26" s="12" t="s">
        <v>24</v>
      </c>
      <c r="W26" s="13">
        <v>46241</v>
      </c>
      <c r="X26" s="14" t="b">
        <v>1</v>
      </c>
      <c r="Y26" t="str">
        <f>_xlfn.XLOOKUP(TRIM(B26), [4]penilaian_STR!$2:$2, [4]penilaian_STR!$44:$44, "")</f>
        <v/>
      </c>
      <c r="AC26" t="str">
        <f t="shared" si="0"/>
        <v>NURUL HADI</v>
      </c>
      <c r="AD26" t="s">
        <v>56</v>
      </c>
    </row>
    <row r="27" spans="1:30">
      <c r="A27" s="8">
        <v>46265</v>
      </c>
      <c r="B27" s="9" t="str">
        <v xml:space="preserve">NICKHOLAS JEFFRY BUNGARAN BATUBARA      </v>
      </c>
      <c r="C27" s="9" t="str">
        <v>NMNF995</v>
      </c>
      <c r="D27" s="9">
        <v>108701018921504</v>
      </c>
      <c r="E27" s="9">
        <v>0</v>
      </c>
      <c r="F27" s="9" t="str">
        <v>Tidak</v>
      </c>
      <c r="G27" s="9" t="str">
        <v>Tidak</v>
      </c>
      <c r="H27" s="9">
        <v>0</v>
      </c>
      <c r="I27" s="9" t="str">
        <v>Jual Beli Rekening - E channel Trx</v>
      </c>
      <c r="J27" s="9">
        <v>33</v>
      </c>
      <c r="K27" s="9">
        <v>113</v>
      </c>
      <c r="L27" s="9" t="str">
        <v>Narkotika/Judi Online/Penipuan</v>
      </c>
      <c r="M27" s="9" t="str">
        <v xml:space="preserve">KCP GADJAHMADA                          </v>
      </c>
      <c r="N27" s="9" t="str">
        <v xml:space="preserve">KC Medan Iskandar Muda                  </v>
      </c>
      <c r="O27" s="9" t="str">
        <v xml:space="preserve">Medan                                   </v>
      </c>
      <c r="P27" s="9">
        <v>0</v>
      </c>
      <c r="Q27" s="9">
        <v>0</v>
      </c>
      <c r="R27" s="9" t="str">
        <v>Belum TL</v>
      </c>
      <c r="S27" s="9" t="str">
        <v>Belum TL</v>
      </c>
      <c r="T27" s="9">
        <v>0</v>
      </c>
      <c r="U27" s="9" t="str">
        <v>"-"</v>
      </c>
      <c r="V27" s="12" t="s">
        <v>34</v>
      </c>
      <c r="W27" s="13">
        <v>46241</v>
      </c>
      <c r="X27" s="14" t="b">
        <v>1</v>
      </c>
      <c r="Y27" t="str">
        <f>_xlfn.XLOOKUP(TRIM(B27), [4]penilaian_STR!$2:$2, [4]penilaian_STR!$44:$44, "")</f>
        <v/>
      </c>
      <c r="AC27" t="str">
        <f t="shared" si="0"/>
        <v>NICKHOLAS JEFFRY BUNGARAN BATUBARA</v>
      </c>
      <c r="AD27" t="s">
        <v>57</v>
      </c>
    </row>
    <row r="28" spans="1:30">
      <c r="A28" s="8">
        <v>46265</v>
      </c>
      <c r="B28" s="9" t="str">
        <v xml:space="preserve">NUR ELISAH BR HASIBUAN                  </v>
      </c>
      <c r="C28" s="9" t="str">
        <v>NNY2817</v>
      </c>
      <c r="D28" s="9">
        <v>337501073914531</v>
      </c>
      <c r="E28" s="9">
        <v>0</v>
      </c>
      <c r="F28" s="9" t="str">
        <v>Tidak</v>
      </c>
      <c r="G28" s="9" t="str">
        <v>Tidak</v>
      </c>
      <c r="H28" s="9">
        <v>0</v>
      </c>
      <c r="I28" s="9" t="str">
        <v>Jual Beli Rekening - E channel Trx</v>
      </c>
      <c r="J28" s="9">
        <v>33</v>
      </c>
      <c r="K28" s="9">
        <v>113</v>
      </c>
      <c r="L28" s="9" t="str">
        <v>Narkotika/Judi Online/Penipuan</v>
      </c>
      <c r="M28" s="9" t="str">
        <v xml:space="preserve">UNIT JATINEGARA BINJAI                  </v>
      </c>
      <c r="N28" s="9" t="str">
        <v xml:space="preserve">KC Binjai                               </v>
      </c>
      <c r="O28" s="9" t="str">
        <v xml:space="preserve">Medan                                   </v>
      </c>
      <c r="P28" s="9">
        <v>0</v>
      </c>
      <c r="Q28" s="9">
        <v>0</v>
      </c>
      <c r="R28" s="9" t="str">
        <v>Belum TL</v>
      </c>
      <c r="S28" s="9" t="str">
        <v>Belum TL</v>
      </c>
      <c r="T28" s="9">
        <v>0</v>
      </c>
      <c r="U28" s="9" t="str">
        <v>"-"</v>
      </c>
      <c r="V28" s="12" t="s">
        <v>24</v>
      </c>
      <c r="W28" s="13">
        <v>46241</v>
      </c>
      <c r="X28" s="14" t="b">
        <v>1</v>
      </c>
      <c r="Y28" t="str">
        <f>_xlfn.XLOOKUP(TRIM(B28), [4]penilaian_STR!$2:$2, [4]penilaian_STR!$44:$44, "")</f>
        <v/>
      </c>
      <c r="AC28" t="str">
        <f t="shared" si="0"/>
        <v>NUR ELISAH BR HASIBUAN</v>
      </c>
      <c r="AD28" t="s">
        <v>58</v>
      </c>
    </row>
    <row r="29" spans="1:30">
      <c r="A29" s="8">
        <v>46265</v>
      </c>
      <c r="B29" s="9" t="str">
        <v xml:space="preserve">RUMAH SAKIT UMUM SAWIT INDAH            </v>
      </c>
      <c r="C29" s="9" t="str">
        <v>PK68945</v>
      </c>
      <c r="D29" s="9">
        <v>353801000006305</v>
      </c>
      <c r="E29" s="9" t="str">
        <v>SEDANG</v>
      </c>
      <c r="F29" s="9" t="str">
        <v>Tidak</v>
      </c>
      <c r="G29" s="9" t="str">
        <v>Tidak</v>
      </c>
      <c r="H29" s="9" t="str">
        <v>Tidak</v>
      </c>
      <c r="I29" s="9" t="str">
        <v>Perpajakan</v>
      </c>
      <c r="J29" s="9">
        <v>48</v>
      </c>
      <c r="K29" s="9">
        <v>41</v>
      </c>
      <c r="L29" s="9" t="str">
        <v>Perpajakan</v>
      </c>
      <c r="M29" s="9" t="str">
        <v xml:space="preserve">UNIT SEI RAMPAH TEBING TINGGI           </v>
      </c>
      <c r="N29" s="9" t="str">
        <v xml:space="preserve">KC Tebing Tinggi                        </v>
      </c>
      <c r="O29" s="9" t="str">
        <v xml:space="preserve">Medan                                   </v>
      </c>
      <c r="P29" s="9">
        <v>0</v>
      </c>
      <c r="Q29" s="9">
        <v>0</v>
      </c>
      <c r="R29" s="9" t="str">
        <v>Belum TL</v>
      </c>
      <c r="S29" s="9" t="str">
        <v>Belum TL</v>
      </c>
      <c r="T29" s="9" t="str">
        <v>90150130 - Intan Aida Pratiwi</v>
      </c>
      <c r="U29" s="9" t="str">
        <v>"-"</v>
      </c>
      <c r="V29" s="12" t="s">
        <v>37</v>
      </c>
      <c r="W29" s="13">
        <v>46241</v>
      </c>
      <c r="X29" s="14" t="b">
        <v>1</v>
      </c>
      <c r="Y29" t="str">
        <f>_xlfn.XLOOKUP(TRIM(B29), [4]penilaian_STR!$2:$2, [4]penilaian_STR!$44:$44, "")</f>
        <v/>
      </c>
      <c r="AC29" t="str">
        <f t="shared" si="0"/>
        <v>RUMAH SAKIT UMUM SAWIT INDAH</v>
      </c>
      <c r="AD29" t="s">
        <v>59</v>
      </c>
    </row>
    <row r="30" spans="1:30">
      <c r="A30" s="8">
        <v>46265</v>
      </c>
      <c r="B30" s="9" t="str">
        <v xml:space="preserve">PT SINUNUKAN ENERGI GEMILANG            </v>
      </c>
      <c r="C30" s="9" t="str">
        <v>PNM6408</v>
      </c>
      <c r="D30" s="9">
        <v>723401000014568</v>
      </c>
      <c r="E30" s="9">
        <v>0</v>
      </c>
      <c r="F30" s="9" t="str">
        <v>Tidak</v>
      </c>
      <c r="G30" s="9" t="str">
        <v>Tidak</v>
      </c>
      <c r="H30" s="9" t="str">
        <v>Tidak</v>
      </c>
      <c r="I30" s="9" t="str">
        <v>Perpajakan</v>
      </c>
      <c r="J30" s="9">
        <v>33</v>
      </c>
      <c r="K30" s="9">
        <v>41</v>
      </c>
      <c r="L30" s="9" t="str">
        <v>Perpajakan</v>
      </c>
      <c r="M30" s="9" t="str">
        <v xml:space="preserve">UNIT SINUNUKAN PANYABUNGAN              </v>
      </c>
      <c r="N30" s="9" t="str">
        <v xml:space="preserve">KC Panyabungan                          </v>
      </c>
      <c r="O30" s="9" t="str">
        <v xml:space="preserve">Medan                                   </v>
      </c>
      <c r="P30" s="9">
        <v>0</v>
      </c>
      <c r="Q30" s="9">
        <v>0</v>
      </c>
      <c r="R30" s="9" t="str">
        <v>Belum TL</v>
      </c>
      <c r="S30" s="9" t="str">
        <v>Belum TL</v>
      </c>
      <c r="T30" s="9" t="str">
        <v>00394520 - Frida Akbar Rani</v>
      </c>
      <c r="U30" s="9" t="str">
        <v>"-"</v>
      </c>
      <c r="V30" s="12" t="s">
        <v>24</v>
      </c>
      <c r="W30" s="13">
        <v>46241</v>
      </c>
      <c r="X30" s="14" t="b">
        <v>1</v>
      </c>
      <c r="Y30" t="str">
        <f>_xlfn.XLOOKUP(TRIM(B30), [4]penilaian_STR!$2:$2, [4]penilaian_STR!$44:$44, "")</f>
        <v/>
      </c>
      <c r="AC30" t="str">
        <f t="shared" si="0"/>
        <v>PT SINUNUKAN ENERGI GEMILANG</v>
      </c>
      <c r="AD30" t="s">
        <v>60</v>
      </c>
    </row>
    <row r="31" spans="1:30">
      <c r="A31" s="8">
        <v>46265</v>
      </c>
      <c r="B31" s="9" t="str">
        <v xml:space="preserve">PT ANUGERAH KENCANA CORP                </v>
      </c>
      <c r="C31" s="9" t="str">
        <v>PPE1182</v>
      </c>
      <c r="D31" s="9">
        <v>32301002943309</v>
      </c>
      <c r="E31" s="9">
        <v>0</v>
      </c>
      <c r="F31" s="9" t="str">
        <v>Tidak</v>
      </c>
      <c r="G31" s="9" t="str">
        <v>Tidak</v>
      </c>
      <c r="H31" s="9" t="str">
        <v>Tidak</v>
      </c>
      <c r="I31" s="9" t="str">
        <v>Business Email Compromise (BEC)</v>
      </c>
      <c r="J31" s="9">
        <v>30</v>
      </c>
      <c r="K31" s="9">
        <v>13</v>
      </c>
      <c r="L31" s="9" t="str">
        <v>Penipuan</v>
      </c>
      <c r="M31" s="9" t="str">
        <v xml:space="preserve">KC Kisaran                              </v>
      </c>
      <c r="N31" s="9" t="str">
        <v xml:space="preserve">KC Kisaran                              </v>
      </c>
      <c r="O31" s="9" t="str">
        <v xml:space="preserve">Medan                                   </v>
      </c>
      <c r="P31" s="9">
        <v>0</v>
      </c>
      <c r="Q31" s="9">
        <v>0</v>
      </c>
      <c r="R31" s="9" t="str">
        <v>Belum TL</v>
      </c>
      <c r="S31" s="9" t="str">
        <v>Belum TL</v>
      </c>
      <c r="T31" s="9" t="str">
        <v>90186796 - Devito Arya Wiradila</v>
      </c>
      <c r="U31" s="9" t="str">
        <v>"-"</v>
      </c>
      <c r="V31" s="12" t="s">
        <v>31</v>
      </c>
      <c r="W31" s="13">
        <v>46241</v>
      </c>
      <c r="X31" s="14" t="b">
        <v>1</v>
      </c>
      <c r="Y31" t="str">
        <f>_xlfn.XLOOKUP(TRIM(B31), [4]penilaian_STR!$2:$2, [4]penilaian_STR!$44:$44, "")</f>
        <v/>
      </c>
      <c r="AC31" t="str">
        <f t="shared" si="0"/>
        <v>PT ANUGERAH KENCANA CORP</v>
      </c>
      <c r="AD31" t="s">
        <v>61</v>
      </c>
    </row>
    <row r="32" spans="1:30">
      <c r="A32" s="8">
        <v>46265</v>
      </c>
      <c r="B32" s="9" t="str">
        <v xml:space="preserve">RAZALI HUSEIN SE                        </v>
      </c>
      <c r="C32" s="9" t="str">
        <v>ROA4191</v>
      </c>
      <c r="D32" s="9">
        <v>115401000001503</v>
      </c>
      <c r="E32" s="9" t="str">
        <v>TINGGI</v>
      </c>
      <c r="F32" s="9" t="str">
        <v>Tidak</v>
      </c>
      <c r="G32" s="9" t="str">
        <v>Tidak</v>
      </c>
      <c r="H32" s="9" t="str">
        <v>Tidak</v>
      </c>
      <c r="I32" s="9" t="str">
        <v>Perpajakan</v>
      </c>
      <c r="J32" s="9">
        <v>73</v>
      </c>
      <c r="K32" s="9">
        <v>1.33</v>
      </c>
      <c r="L32" s="9" t="str">
        <v>Perpajakan</v>
      </c>
      <c r="M32" s="9" t="str">
        <v xml:space="preserve">KCP DISKI                               </v>
      </c>
      <c r="N32" s="9" t="str">
        <v xml:space="preserve">KC Binjai                               </v>
      </c>
      <c r="O32" s="9" t="str">
        <v xml:space="preserve">Medan                                   </v>
      </c>
      <c r="P32" s="9">
        <v>0</v>
      </c>
      <c r="Q32" s="9">
        <v>0</v>
      </c>
      <c r="R32" s="9" t="str">
        <v>Belum TL</v>
      </c>
      <c r="S32" s="9" t="str">
        <v>Belum TL</v>
      </c>
      <c r="T32" s="9" t="str">
        <v>90186790 - Muhammad Alfin Farha</v>
      </c>
      <c r="U32" s="9" t="str">
        <v>"-"</v>
      </c>
      <c r="V32" s="12" t="s">
        <v>24</v>
      </c>
      <c r="W32" s="13">
        <v>46241</v>
      </c>
      <c r="X32" s="14" t="b">
        <v>1</v>
      </c>
      <c r="Y32">
        <f>_xlfn.XLOOKUP(TRIM(B32), [4]penilaian_STR!$2:$2, [4]penilaian_STR!$44:$44, "")</f>
        <v>3.2562500000000001</v>
      </c>
      <c r="AC32" t="str">
        <f t="shared" si="0"/>
        <v>RAZALI HUSEIN SE</v>
      </c>
      <c r="AD32" t="s">
        <v>62</v>
      </c>
    </row>
    <row r="33" spans="1:30">
      <c r="A33" s="8">
        <v>46265</v>
      </c>
      <c r="B33" s="9" t="str">
        <v xml:space="preserve">RANGGA APRIYANDI SIREGAR                </v>
      </c>
      <c r="C33" s="9" t="str">
        <v>ROOA642</v>
      </c>
      <c r="D33" s="9">
        <v>108801019478508</v>
      </c>
      <c r="E33" s="9">
        <v>0</v>
      </c>
      <c r="F33" s="9" t="str">
        <v>Tidak</v>
      </c>
      <c r="G33" s="9" t="str">
        <v>Tidak</v>
      </c>
      <c r="H33" s="9">
        <v>0</v>
      </c>
      <c r="I33" s="9" t="str">
        <v>Jual Beli Rekening - E channel Trx</v>
      </c>
      <c r="J33" s="9">
        <v>33</v>
      </c>
      <c r="K33" s="9">
        <v>113</v>
      </c>
      <c r="L33" s="9" t="str">
        <v>Narkotika/Judi Online/Penipuan</v>
      </c>
      <c r="M33" s="9" t="str">
        <v xml:space="preserve">KCP MEDAN SETIABUDI                     </v>
      </c>
      <c r="N33" s="9" t="str">
        <v xml:space="preserve">KC Medan Gatot Subroto                  </v>
      </c>
      <c r="O33" s="9" t="str">
        <v xml:space="preserve">Medan                                   </v>
      </c>
      <c r="P33" s="9">
        <v>0</v>
      </c>
      <c r="Q33" s="9">
        <v>0</v>
      </c>
      <c r="R33" s="9" t="str">
        <v>Belum TL</v>
      </c>
      <c r="S33" s="9" t="str">
        <v>Belum TL</v>
      </c>
      <c r="T33" s="9">
        <v>0</v>
      </c>
      <c r="U33" s="9" t="str">
        <v>"-"</v>
      </c>
      <c r="V33" s="12" t="s">
        <v>37</v>
      </c>
      <c r="W33" s="13">
        <v>46241</v>
      </c>
      <c r="X33" s="14" t="b">
        <v>1</v>
      </c>
      <c r="Y33" t="str">
        <f>_xlfn.XLOOKUP(TRIM(B33), [4]penilaian_STR!$2:$2, [4]penilaian_STR!$44:$44, "")</f>
        <v/>
      </c>
      <c r="AC33" t="str">
        <f t="shared" si="0"/>
        <v>RANGGA APRIYANDI SIREGAR</v>
      </c>
      <c r="AD33" t="s">
        <v>63</v>
      </c>
    </row>
    <row r="34" spans="1:30">
      <c r="A34" s="8">
        <v>46265</v>
      </c>
      <c r="B34" s="9" t="str">
        <v xml:space="preserve">ROSITA ANGGEREK                         </v>
      </c>
      <c r="C34" s="9" t="str">
        <v>RU71957</v>
      </c>
      <c r="D34" s="9">
        <v>28301000993560</v>
      </c>
      <c r="E34" s="9" t="str">
        <v>TINGGI</v>
      </c>
      <c r="F34" s="9" t="str">
        <v>Tidak</v>
      </c>
      <c r="G34" s="9" t="str">
        <v>Tidak</v>
      </c>
      <c r="H34" s="9" t="str">
        <v>Tidak</v>
      </c>
      <c r="I34" s="9" t="str">
        <v>Perpajakan</v>
      </c>
      <c r="J34" s="9">
        <v>73</v>
      </c>
      <c r="K34" s="9">
        <v>1.33</v>
      </c>
      <c r="L34" s="9" t="str">
        <v>Perpajakan</v>
      </c>
      <c r="M34" s="9" t="str">
        <v xml:space="preserve">KC Tebing Tinggi                        </v>
      </c>
      <c r="N34" s="9" t="str">
        <v xml:space="preserve">KC Tebing Tinggi                        </v>
      </c>
      <c r="O34" s="9" t="str">
        <v xml:space="preserve">Medan                                   </v>
      </c>
      <c r="P34" s="9">
        <v>0</v>
      </c>
      <c r="Q34" s="9">
        <v>0</v>
      </c>
      <c r="R34" s="9" t="str">
        <v>Belum TL</v>
      </c>
      <c r="S34" s="9" t="str">
        <v>Belum TL</v>
      </c>
      <c r="T34" s="9" t="str">
        <v>90186796 - Devito Arya Wiradila</v>
      </c>
      <c r="U34" s="9" t="str">
        <v>"-"</v>
      </c>
      <c r="V34" s="12" t="s">
        <v>37</v>
      </c>
      <c r="W34" s="13">
        <v>46241</v>
      </c>
      <c r="X34" s="14" t="b">
        <v>1</v>
      </c>
      <c r="Y34" t="str">
        <f>_xlfn.XLOOKUP(TRIM(B34), [4]penilaian_STR!$2:$2, [4]penilaian_STR!$44:$44, "")</f>
        <v/>
      </c>
      <c r="AC34" t="str">
        <f t="shared" si="0"/>
        <v>ROSITA ANGGEREK</v>
      </c>
      <c r="AD34" t="s">
        <v>64</v>
      </c>
    </row>
    <row r="35" spans="1:30">
      <c r="A35" s="8">
        <v>46265</v>
      </c>
      <c r="B35" s="9" t="str">
        <v xml:space="preserve">SUGIANTO                                </v>
      </c>
      <c r="C35" s="9" t="str">
        <v>SEKWX69</v>
      </c>
      <c r="D35" s="9">
        <v>754301014191533</v>
      </c>
      <c r="E35" s="9" t="str">
        <v>SEDANG</v>
      </c>
      <c r="F35" s="9" t="str">
        <v>Ya</v>
      </c>
      <c r="G35" s="9" t="str">
        <v>Tidak</v>
      </c>
      <c r="H35" s="9" t="str">
        <v>Tidak</v>
      </c>
      <c r="I35" s="9" t="str">
        <v>Pencurian Rekening</v>
      </c>
      <c r="J35" s="9">
        <v>46</v>
      </c>
      <c r="K35" s="9">
        <v>58</v>
      </c>
      <c r="L35" s="9" t="str">
        <v>Perbankan</v>
      </c>
      <c r="M35" s="9" t="str">
        <v xml:space="preserve">KC BANDA ACEH CUT MEUTIA                </v>
      </c>
      <c r="N35" s="9" t="str">
        <v xml:space="preserve">KANWIL Medan                            </v>
      </c>
      <c r="O35" s="9" t="str">
        <v xml:space="preserve">Medan                                   </v>
      </c>
      <c r="P35" s="9">
        <v>0</v>
      </c>
      <c r="Q35" s="9">
        <v>0</v>
      </c>
      <c r="R35" s="9" t="str">
        <v>Belum TL</v>
      </c>
      <c r="S35" s="9" t="str">
        <v>Belum TL</v>
      </c>
      <c r="T35" s="9" t="str">
        <v>00336949 - Mochammad Al Farabi</v>
      </c>
      <c r="U35" s="9" t="str">
        <v>"-"</v>
      </c>
      <c r="V35" s="12" t="s">
        <v>28</v>
      </c>
      <c r="W35" s="13">
        <v>46241</v>
      </c>
      <c r="X35" s="14" t="b">
        <v>1</v>
      </c>
      <c r="Y35" t="str">
        <f>_xlfn.XLOOKUP(TRIM(B35), [4]penilaian_STR!$2:$2, [4]penilaian_STR!$44:$44, "")</f>
        <v/>
      </c>
      <c r="AC35" t="str">
        <f t="shared" si="0"/>
        <v>SUGIANTO</v>
      </c>
      <c r="AD35" t="s">
        <v>65</v>
      </c>
    </row>
    <row r="36" spans="1:30">
      <c r="A36" s="8">
        <v>46265</v>
      </c>
      <c r="B36" s="9" t="str">
        <v xml:space="preserve">SULASMI                                 </v>
      </c>
      <c r="C36" s="9" t="str">
        <v>SJSML89</v>
      </c>
      <c r="D36" s="9">
        <v>529401007494501</v>
      </c>
      <c r="E36" s="9">
        <v>0</v>
      </c>
      <c r="F36" s="9" t="str">
        <v>Tidak</v>
      </c>
      <c r="G36" s="9" t="str">
        <v>Tidak</v>
      </c>
      <c r="H36" s="9">
        <v>0</v>
      </c>
      <c r="I36" s="9" t="str">
        <v>Jual Beli Rekening - E channel Trx</v>
      </c>
      <c r="J36" s="9">
        <v>33</v>
      </c>
      <c r="K36" s="9">
        <v>113</v>
      </c>
      <c r="L36" s="9" t="str">
        <v>Narkotika/Judi Online/Penipuan</v>
      </c>
      <c r="M36" s="9" t="str">
        <v xml:space="preserve">UNIT SIMPANG KOLAM THAMRIN              </v>
      </c>
      <c r="N36" s="9" t="str">
        <v xml:space="preserve">KC Medan Thamrin                        </v>
      </c>
      <c r="O36" s="9" t="str">
        <v xml:space="preserve">Medan                                   </v>
      </c>
      <c r="P36" s="9">
        <v>0</v>
      </c>
      <c r="Q36" s="9">
        <v>0</v>
      </c>
      <c r="R36" s="9" t="str">
        <v>Belum TL</v>
      </c>
      <c r="S36" s="9" t="str">
        <v>Belum TL</v>
      </c>
      <c r="T36" s="9">
        <v>0</v>
      </c>
      <c r="U36" s="9" t="str">
        <v>"-"</v>
      </c>
      <c r="V36" s="12" t="s">
        <v>37</v>
      </c>
      <c r="W36" s="13">
        <v>46241</v>
      </c>
      <c r="X36" s="14" t="b">
        <v>1</v>
      </c>
      <c r="Y36">
        <f>_xlfn.XLOOKUP(TRIM(B36), [4]penilaian_STR!$2:$2, [4]penilaian_STR!$44:$44, "")</f>
        <v>3.2022321428571425</v>
      </c>
      <c r="AC36" t="str">
        <f t="shared" si="0"/>
        <v>SULASMI</v>
      </c>
      <c r="AD36" t="s">
        <v>66</v>
      </c>
    </row>
    <row r="37" spans="1:30">
      <c r="A37" s="8">
        <v>46265</v>
      </c>
      <c r="B37" s="9" t="str">
        <v xml:space="preserve">SRIYATI                                 </v>
      </c>
      <c r="C37" s="9" t="str">
        <v>SRV0386</v>
      </c>
      <c r="D37" s="9">
        <v>558901029838538</v>
      </c>
      <c r="E37" s="9" t="str">
        <v>SEDANG</v>
      </c>
      <c r="F37" s="9" t="str">
        <v>Ya</v>
      </c>
      <c r="G37" s="9" t="str">
        <v>Tidak</v>
      </c>
      <c r="H37" s="9" t="str">
        <v>Tidak</v>
      </c>
      <c r="I37" s="9" t="str">
        <v>Pencurian Rekening</v>
      </c>
      <c r="J37" s="9">
        <v>46</v>
      </c>
      <c r="K37" s="9">
        <v>58</v>
      </c>
      <c r="L37" s="9" t="str">
        <v>Perbankan</v>
      </c>
      <c r="M37" s="9" t="str">
        <v xml:space="preserve">KC BANDA ACEH CUT MEUTIA                </v>
      </c>
      <c r="N37" s="9" t="str">
        <v xml:space="preserve">KANWIL Medan                            </v>
      </c>
      <c r="O37" s="9" t="str">
        <v xml:space="preserve">Medan                                   </v>
      </c>
      <c r="P37" s="9">
        <v>0</v>
      </c>
      <c r="Q37" s="9">
        <v>0</v>
      </c>
      <c r="R37" s="9" t="str">
        <v>Belum TL</v>
      </c>
      <c r="S37" s="9" t="str">
        <v>Belum TL</v>
      </c>
      <c r="T37" s="9" t="str">
        <v>00394520 - Frida Akbar Rani</v>
      </c>
      <c r="U37" s="9" t="str">
        <v>"-"</v>
      </c>
      <c r="V37" s="12" t="s">
        <v>28</v>
      </c>
      <c r="W37" s="13">
        <v>46241</v>
      </c>
      <c r="X37" s="14" t="b">
        <v>1</v>
      </c>
      <c r="Y37" t="str">
        <f>_xlfn.XLOOKUP(TRIM(B37), [4]penilaian_STR!$2:$2, [4]penilaian_STR!$44:$44, "")</f>
        <v/>
      </c>
      <c r="AC37" t="str">
        <f t="shared" si="0"/>
        <v>SRIYATI</v>
      </c>
      <c r="AD37" t="s">
        <v>67</v>
      </c>
    </row>
    <row r="38" spans="1:30">
      <c r="A38" s="8">
        <v>46265</v>
      </c>
      <c r="B38" s="9" t="str">
        <v xml:space="preserve">YETTI SUNARSIH                          </v>
      </c>
      <c r="C38" s="9" t="str">
        <v>YL53029</v>
      </c>
      <c r="D38" s="9">
        <v>760401002609532</v>
      </c>
      <c r="E38" s="9" t="str">
        <v>SEDANG</v>
      </c>
      <c r="F38" s="9" t="str">
        <v>Tidak</v>
      </c>
      <c r="G38" s="9" t="str">
        <v>Tidak</v>
      </c>
      <c r="H38" s="9" t="str">
        <v>Tidak</v>
      </c>
      <c r="I38" s="9" t="str">
        <v>Pencurian Rekening</v>
      </c>
      <c r="J38" s="9">
        <v>46</v>
      </c>
      <c r="K38" s="9">
        <v>58</v>
      </c>
      <c r="L38" s="9" t="str">
        <v>Perbankan</v>
      </c>
      <c r="M38" s="9" t="str">
        <v xml:space="preserve">KC BANDA ACEH CUT MEUTIA                </v>
      </c>
      <c r="N38" s="9" t="str">
        <v xml:space="preserve">KANWIL Medan                            </v>
      </c>
      <c r="O38" s="9" t="str">
        <v xml:space="preserve">Medan                                   </v>
      </c>
      <c r="P38" s="9">
        <v>0</v>
      </c>
      <c r="Q38" s="9">
        <v>0</v>
      </c>
      <c r="R38" s="9" t="str">
        <v>Belum TL</v>
      </c>
      <c r="S38" s="9" t="str">
        <v>Belum TL</v>
      </c>
      <c r="T38" s="9" t="str">
        <v>90185537 - Moh.Khoerul Fajar Ar</v>
      </c>
      <c r="U38" s="9" t="str">
        <v>"-"</v>
      </c>
      <c r="V38" s="12" t="s">
        <v>28</v>
      </c>
      <c r="W38" s="13">
        <v>46241</v>
      </c>
      <c r="X38" s="14" t="b">
        <v>1</v>
      </c>
      <c r="Y38" t="str">
        <f>_xlfn.XLOOKUP(TRIM(B38), [4]penilaian_STR!$2:$2, [4]penilaian_STR!$44:$44, "")</f>
        <v/>
      </c>
      <c r="AC38" t="str">
        <f t="shared" si="0"/>
        <v>YETTI SUNARSIH</v>
      </c>
      <c r="AD38" t="s">
        <v>68</v>
      </c>
    </row>
    <row r="39" spans="1:30">
      <c r="A39" s="8">
        <v>46265</v>
      </c>
      <c r="B39" s="9" t="str">
        <v xml:space="preserve">CV OHZP PARDOMUAN SEJAHTERA             </v>
      </c>
      <c r="C39" s="9" t="str">
        <v>CU64419</v>
      </c>
      <c r="D39" s="9">
        <v>222801001499303</v>
      </c>
      <c r="E39" s="9">
        <v>0</v>
      </c>
      <c r="F39" s="9" t="str">
        <v>Tidak</v>
      </c>
      <c r="G39" s="9" t="str">
        <v>Tidak</v>
      </c>
      <c r="H39" s="9" t="str">
        <v>Tidak</v>
      </c>
      <c r="I39" s="9" t="str">
        <v>Perpajakan</v>
      </c>
      <c r="J39" s="9">
        <v>33</v>
      </c>
      <c r="K39" s="9">
        <v>41</v>
      </c>
      <c r="L39" s="9" t="str">
        <v>Perpajakan</v>
      </c>
      <c r="M39" s="9" t="str">
        <v xml:space="preserve">KCP GUNUNG TUA                          </v>
      </c>
      <c r="N39" s="9" t="str">
        <v xml:space="preserve">KC Padang Sidempuan                     </v>
      </c>
      <c r="O39" s="9" t="str">
        <v xml:space="preserve">Medan                                   </v>
      </c>
      <c r="P39" s="9">
        <v>0</v>
      </c>
      <c r="Q39" s="9" t="str">
        <v>Tidak</v>
      </c>
      <c r="R39" s="9" t="str">
        <v>Belum TL</v>
      </c>
      <c r="S39" s="9" t="str">
        <v>Approved</v>
      </c>
      <c r="T39" s="9" t="str">
        <v>90186790 - Muhammad Alfin Farha</v>
      </c>
      <c r="U39" s="9" t="str">
        <v>"-"</v>
      </c>
      <c r="V39" s="12" t="s">
        <v>34</v>
      </c>
      <c r="W39" s="13">
        <v>46241</v>
      </c>
      <c r="X39" s="14" t="b">
        <v>1</v>
      </c>
      <c r="Y39" t="str">
        <f>_xlfn.XLOOKUP(TRIM(B39), [4]penilaian_STR!$2:$2, [4]penilaian_STR!$44:$44, "")</f>
        <v/>
      </c>
      <c r="AC39" t="str">
        <f t="shared" si="0"/>
        <v>CV OHZP PARDOMUAN SEJAHTERA</v>
      </c>
      <c r="AD39" t="s">
        <v>69</v>
      </c>
    </row>
    <row r="40" spans="1:30">
      <c r="A40" s="8">
        <v>46265</v>
      </c>
      <c r="B40" s="9" t="str">
        <v xml:space="preserve">RITA PURNAMA                            </v>
      </c>
      <c r="C40" s="9" t="str">
        <v>RLJX288</v>
      </c>
      <c r="D40" s="9">
        <v>33601036119537</v>
      </c>
      <c r="E40" s="9">
        <v>0</v>
      </c>
      <c r="F40" s="9" t="str">
        <v>Tidak</v>
      </c>
      <c r="G40" s="9" t="str">
        <v>Tidak</v>
      </c>
      <c r="H40" s="9">
        <v>0</v>
      </c>
      <c r="I40" s="9" t="str">
        <v>Jual Beli Rekening - E channel Trx</v>
      </c>
      <c r="J40" s="9">
        <v>33</v>
      </c>
      <c r="K40" s="9">
        <v>113</v>
      </c>
      <c r="L40" s="9" t="str">
        <v>Narkotika/Judi Online/Penipuan</v>
      </c>
      <c r="M40" s="9" t="str">
        <v xml:space="preserve">KC Medan Iskandar Muda                  </v>
      </c>
      <c r="N40" s="9" t="str">
        <v xml:space="preserve">KC Medan Iskandar Muda                  </v>
      </c>
      <c r="O40" s="9" t="str">
        <v xml:space="preserve">Medan                                   </v>
      </c>
      <c r="P40" s="9" t="str">
        <v>Ya</v>
      </c>
      <c r="Q40" s="9">
        <v>0</v>
      </c>
      <c r="R40" s="9" t="str">
        <v>Pending Approver</v>
      </c>
      <c r="S40" s="9" t="str">
        <v>Belum TL</v>
      </c>
      <c r="T40" s="9">
        <v>0</v>
      </c>
      <c r="U40" s="9" t="str">
        <v>"-"</v>
      </c>
      <c r="V40" s="12" t="s">
        <v>34</v>
      </c>
      <c r="W40" s="13">
        <v>46241</v>
      </c>
      <c r="X40" s="14" t="b">
        <v>1</v>
      </c>
      <c r="Y40" t="str">
        <f>_xlfn.XLOOKUP(TRIM(B40), [4]penilaian_STR!$2:$2, [4]penilaian_STR!$44:$44, "")</f>
        <v/>
      </c>
      <c r="AC40" t="str">
        <f t="shared" si="0"/>
        <v>RITA PURNAMA</v>
      </c>
      <c r="AD40" t="s">
        <v>70</v>
      </c>
    </row>
    <row r="41" spans="1:30">
      <c r="A41" s="8">
        <v>46265</v>
      </c>
      <c r="B41" s="9" t="str">
        <v xml:space="preserve">PT SETIA BUDI INDAH                     </v>
      </c>
      <c r="C41" s="9" t="str">
        <v>PEE5221</v>
      </c>
      <c r="D41" s="9">
        <v>5301890888302</v>
      </c>
      <c r="E41" s="9" t="str">
        <v>SEDANG</v>
      </c>
      <c r="F41" s="9" t="str">
        <v>Tidak</v>
      </c>
      <c r="G41" s="9" t="str">
        <v>Tidak</v>
      </c>
      <c r="H41" s="9" t="str">
        <v>Tidak</v>
      </c>
      <c r="I41" s="9" t="str">
        <v>Perpajakan</v>
      </c>
      <c r="J41" s="9">
        <v>53</v>
      </c>
      <c r="K41" s="9">
        <v>41</v>
      </c>
      <c r="L41" s="9" t="str">
        <v>Perpajakan</v>
      </c>
      <c r="M41" s="9" t="str">
        <v xml:space="preserve">KC Medan Putri Hijau                    </v>
      </c>
      <c r="N41" s="9" t="str">
        <v xml:space="preserve">KC Medan Putri Hijau                    </v>
      </c>
      <c r="O41" s="9" t="str">
        <v xml:space="preserve">Medan                                   </v>
      </c>
      <c r="P41" s="9" t="str">
        <v>Ya</v>
      </c>
      <c r="Q41" s="9">
        <v>0</v>
      </c>
      <c r="R41" s="9" t="str">
        <v>Pending Approver</v>
      </c>
      <c r="S41" s="9" t="str">
        <v>Belum TL</v>
      </c>
      <c r="T41" s="9" t="str">
        <v>00394520 - Frida Akbar Rani</v>
      </c>
      <c r="U41" s="9" t="str">
        <v>"-"</v>
      </c>
      <c r="V41" s="12" t="s">
        <v>31</v>
      </c>
      <c r="W41" s="13">
        <v>46241</v>
      </c>
      <c r="X41" s="14" t="b">
        <v>1</v>
      </c>
      <c r="Y41" t="str">
        <f>_xlfn.XLOOKUP(TRIM(B41), [4]penilaian_STR!$2:$2, [4]penilaian_STR!$44:$44, "")</f>
        <v/>
      </c>
      <c r="AC41" t="str">
        <f t="shared" si="0"/>
        <v>PT SETIA BUDI INDAH</v>
      </c>
      <c r="AD41" t="s">
        <v>71</v>
      </c>
    </row>
    <row r="42" spans="1:30">
      <c r="A42" s="8">
        <v>46265</v>
      </c>
      <c r="B42" s="9" t="str">
        <v xml:space="preserve">SOPIAN HADI                             </v>
      </c>
      <c r="C42" s="9" t="str">
        <v>SGJJJ80</v>
      </c>
      <c r="D42" s="9">
        <v>208301038157500</v>
      </c>
      <c r="E42" s="9">
        <v>0</v>
      </c>
      <c r="F42" s="9" t="str">
        <v>Tidak</v>
      </c>
      <c r="G42" s="9" t="str">
        <v>Tidak</v>
      </c>
      <c r="H42" s="9">
        <v>0</v>
      </c>
      <c r="I42" s="9" t="str">
        <v>Jual Beli Rekening - E channel Trx</v>
      </c>
      <c r="J42" s="9">
        <v>33</v>
      </c>
      <c r="K42" s="9">
        <v>113</v>
      </c>
      <c r="L42" s="9" t="str">
        <v>Narkotika/Judi Online/Penipuan</v>
      </c>
      <c r="M42" s="9" t="str">
        <v xml:space="preserve">KCP WILLEM ISKANDAR                     </v>
      </c>
      <c r="N42" s="9" t="str">
        <v xml:space="preserve">KC Medan Thamrin                        </v>
      </c>
      <c r="O42" s="9" t="str">
        <v xml:space="preserve">Medan                                   </v>
      </c>
      <c r="P42" s="9" t="str">
        <v>Ya</v>
      </c>
      <c r="Q42" s="9">
        <v>0</v>
      </c>
      <c r="R42" s="9" t="str">
        <v>Pending Approver</v>
      </c>
      <c r="S42" s="9" t="str">
        <v>Belum TL</v>
      </c>
      <c r="T42" s="9">
        <v>0</v>
      </c>
      <c r="U42" s="9" t="str">
        <v>"-"</v>
      </c>
      <c r="V42" s="12" t="s">
        <v>37</v>
      </c>
      <c r="W42" s="13">
        <v>46241</v>
      </c>
      <c r="X42" s="14" t="b">
        <v>1</v>
      </c>
      <c r="Y42">
        <f>_xlfn.XLOOKUP(TRIM(B42), [4]penilaian_STR!$2:$2, [4]penilaian_STR!$44:$44, "")</f>
        <v>3.125892857142857</v>
      </c>
      <c r="AC42" t="str">
        <f t="shared" si="0"/>
        <v>SOPIAN HADI</v>
      </c>
      <c r="AD42" t="s">
        <v>72</v>
      </c>
    </row>
    <row r="43" spans="1:30">
      <c r="A43" s="8">
        <v>46265</v>
      </c>
      <c r="B43" s="9" t="str">
        <v xml:space="preserve">YENDARI SIMATUPANG                      </v>
      </c>
      <c r="C43" s="9" t="str">
        <v>YPD0672</v>
      </c>
      <c r="D43" s="9">
        <v>208301038166509</v>
      </c>
      <c r="E43" s="9">
        <v>0</v>
      </c>
      <c r="F43" s="9" t="str">
        <v>Tidak</v>
      </c>
      <c r="G43" s="9" t="str">
        <v>Tidak</v>
      </c>
      <c r="H43" s="9">
        <v>0</v>
      </c>
      <c r="I43" s="9" t="str">
        <v>Jual Beli Rekening - E channel Trx</v>
      </c>
      <c r="J43" s="9">
        <v>33</v>
      </c>
      <c r="K43" s="9">
        <v>113</v>
      </c>
      <c r="L43" s="9" t="str">
        <v>Narkotika/Judi Online/Penipuan</v>
      </c>
      <c r="M43" s="9" t="str">
        <v xml:space="preserve">KCP WILLEM ISKANDAR                     </v>
      </c>
      <c r="N43" s="9" t="str">
        <v xml:space="preserve">KC Medan Thamrin                        </v>
      </c>
      <c r="O43" s="9" t="str">
        <v xml:space="preserve">Medan                                   </v>
      </c>
      <c r="P43" s="9" t="str">
        <v>Ya</v>
      </c>
      <c r="Q43" s="9">
        <v>0</v>
      </c>
      <c r="R43" s="9" t="str">
        <v>Pending Approver</v>
      </c>
      <c r="S43" s="9" t="str">
        <v>Belum TL</v>
      </c>
      <c r="T43" s="9">
        <v>0</v>
      </c>
      <c r="U43" s="9" t="str">
        <v>"-"</v>
      </c>
      <c r="V43" s="12" t="s">
        <v>37</v>
      </c>
      <c r="W43" s="13">
        <v>46241</v>
      </c>
      <c r="X43" s="14" t="b">
        <v>1</v>
      </c>
      <c r="Y43" t="str">
        <f>_xlfn.XLOOKUP(TRIM(B43), [4]penilaian_STR!$2:$2, [4]penilaian_STR!$44:$44, "")</f>
        <v/>
      </c>
      <c r="AC43" t="str">
        <f t="shared" si="0"/>
        <v>YENDARI SIMATUPANG</v>
      </c>
      <c r="AD43" t="s">
        <v>73</v>
      </c>
    </row>
    <row r="44" spans="1:30">
      <c r="A44" s="8">
        <v>46265</v>
      </c>
      <c r="B44" s="9" t="str">
        <v xml:space="preserve">AHMAD FAUZI                             </v>
      </c>
      <c r="C44" s="9" t="str">
        <v>ADUHV01</v>
      </c>
      <c r="D44" s="9">
        <v>33601036124532</v>
      </c>
      <c r="E44" s="9">
        <v>0</v>
      </c>
      <c r="F44" s="9" t="str">
        <v>Tidak</v>
      </c>
      <c r="G44" s="9" t="str">
        <v>Tidak</v>
      </c>
      <c r="H44" s="9">
        <v>0</v>
      </c>
      <c r="I44" s="9" t="str">
        <v>Jual Beli Rekening - E channel Trx</v>
      </c>
      <c r="J44" s="9">
        <v>33</v>
      </c>
      <c r="K44" s="9">
        <v>113</v>
      </c>
      <c r="L44" s="9" t="str">
        <v>Narkotika/Judi Online/Penipuan</v>
      </c>
      <c r="M44" s="9" t="str">
        <v xml:space="preserve">KC Medan Iskandar Muda                  </v>
      </c>
      <c r="N44" s="9" t="str">
        <v xml:space="preserve">KC Medan Iskandar Muda                  </v>
      </c>
      <c r="O44" s="9" t="str">
        <v xml:space="preserve">Medan                                   </v>
      </c>
      <c r="P44" s="9" t="str">
        <v>Ya</v>
      </c>
      <c r="Q44" s="9">
        <v>0</v>
      </c>
      <c r="R44" s="9" t="str">
        <v>Pending Approver</v>
      </c>
      <c r="S44" s="9" t="str">
        <v>Belum TL</v>
      </c>
      <c r="T44" s="9">
        <v>0</v>
      </c>
      <c r="U44" s="9" t="str">
        <v>"-"</v>
      </c>
      <c r="V44" s="12" t="s">
        <v>34</v>
      </c>
      <c r="W44" s="13">
        <v>46241</v>
      </c>
      <c r="X44" s="14" t="b">
        <v>1</v>
      </c>
      <c r="Y44" t="str">
        <f>_xlfn.XLOOKUP(TRIM(B44), [4]penilaian_STR!$2:$2, [4]penilaian_STR!$44:$44, "")</f>
        <v/>
      </c>
      <c r="AC44" t="str">
        <f t="shared" si="0"/>
        <v>AHMAD FAUZI</v>
      </c>
      <c r="AD44" t="s">
        <v>74</v>
      </c>
    </row>
    <row r="45" spans="1:30">
      <c r="A45" s="8">
        <v>46265</v>
      </c>
      <c r="B45" s="9" t="str">
        <v xml:space="preserve">FARID WAZDI                             </v>
      </c>
      <c r="C45" s="9" t="str">
        <v>FOT8078</v>
      </c>
      <c r="D45" s="9">
        <v>33601036111539</v>
      </c>
      <c r="E45" s="9">
        <v>0</v>
      </c>
      <c r="F45" s="9" t="str">
        <v>Tidak</v>
      </c>
      <c r="G45" s="9" t="str">
        <v>Tidak</v>
      </c>
      <c r="H45" s="9">
        <v>0</v>
      </c>
      <c r="I45" s="9" t="str">
        <v>Jual Beli Rekening - E channel Trx</v>
      </c>
      <c r="J45" s="9">
        <v>33</v>
      </c>
      <c r="K45" s="9">
        <v>113</v>
      </c>
      <c r="L45" s="9" t="str">
        <v>Narkotika/Judi Online/Penipuan</v>
      </c>
      <c r="M45" s="9" t="str">
        <v xml:space="preserve">KC Medan Iskandar Muda                  </v>
      </c>
      <c r="N45" s="9" t="str">
        <v xml:space="preserve">KC Medan Iskandar Muda                  </v>
      </c>
      <c r="O45" s="9" t="str">
        <v xml:space="preserve">Medan                                   </v>
      </c>
      <c r="P45" s="9" t="str">
        <v>Ya</v>
      </c>
      <c r="Q45" s="9" t="str">
        <v>Ya</v>
      </c>
      <c r="R45" s="9" t="str">
        <v>Pending Approver</v>
      </c>
      <c r="S45" s="9" t="str">
        <v>Pending Checker</v>
      </c>
      <c r="T45" s="9">
        <v>0</v>
      </c>
      <c r="U45" s="9" t="str">
        <v>"-"</v>
      </c>
      <c r="V45" s="12" t="s">
        <v>34</v>
      </c>
      <c r="W45" s="13">
        <v>46241</v>
      </c>
      <c r="X45" s="14" t="b">
        <v>1</v>
      </c>
      <c r="Y45">
        <f>_xlfn.XLOOKUP(TRIM(B45), [4]penilaian_STR!$2:$2, [4]penilaian_STR!$44:$44, "")</f>
        <v>2.5397321428571429</v>
      </c>
      <c r="AC45" t="str">
        <f t="shared" si="0"/>
        <v>FARID WAZDI</v>
      </c>
      <c r="AD45" t="s">
        <v>75</v>
      </c>
    </row>
    <row r="46" spans="1:30">
      <c r="A46" s="8">
        <v>46265</v>
      </c>
      <c r="B46" s="9" t="str">
        <v xml:space="preserve">TENGKU MAHYUDI                          </v>
      </c>
      <c r="C46" s="9" t="str">
        <v>TK91847</v>
      </c>
      <c r="D46" s="9">
        <v>5301177595507</v>
      </c>
      <c r="E46" s="9">
        <v>0</v>
      </c>
      <c r="F46" s="9" t="str">
        <v>Tidak</v>
      </c>
      <c r="G46" s="9" t="str">
        <v>Tidak</v>
      </c>
      <c r="H46" s="9">
        <v>0</v>
      </c>
      <c r="I46" s="9" t="str">
        <v>Jual Beli Rekening - E channel Trx</v>
      </c>
      <c r="J46" s="9">
        <v>33</v>
      </c>
      <c r="K46" s="9">
        <v>113</v>
      </c>
      <c r="L46" s="9" t="str">
        <v>Narkotika/Judi Online/Penipuan</v>
      </c>
      <c r="M46" s="9" t="str">
        <v xml:space="preserve">KC Medan Putri Hijau                    </v>
      </c>
      <c r="N46" s="9" t="str">
        <v xml:space="preserve">KC Medan Putri Hijau                    </v>
      </c>
      <c r="O46" s="9" t="str">
        <v xml:space="preserve">Medan                                   </v>
      </c>
      <c r="P46" s="9" t="str">
        <v>Ya</v>
      </c>
      <c r="Q46" s="9" t="str">
        <v>Ya</v>
      </c>
      <c r="R46" s="9" t="str">
        <v>Pending Approver</v>
      </c>
      <c r="S46" s="9" t="str">
        <v>Pending Checker</v>
      </c>
      <c r="T46" s="9">
        <v>0</v>
      </c>
      <c r="U46" s="9" t="str">
        <v>"-"</v>
      </c>
      <c r="V46" s="12" t="s">
        <v>31</v>
      </c>
      <c r="W46" s="13">
        <v>46241</v>
      </c>
      <c r="X46" s="14" t="b">
        <v>1</v>
      </c>
      <c r="Y46">
        <f>_xlfn.XLOOKUP(TRIM(B46), [4]penilaian_STR!$2:$2, [4]penilaian_STR!$44:$44, "")</f>
        <v>3.0075892857142859</v>
      </c>
      <c r="AC46" t="str">
        <f t="shared" si="0"/>
        <v>TENGKU MAHYUDI</v>
      </c>
      <c r="AD46" t="s">
        <v>76</v>
      </c>
    </row>
    <row r="47" spans="1:30">
      <c r="A47" s="8">
        <v>46265</v>
      </c>
      <c r="B47" s="9" t="str">
        <v xml:space="preserve">CV CORETRONIC CORP                      </v>
      </c>
      <c r="C47" s="9" t="str">
        <v>CY64099</v>
      </c>
      <c r="D47" s="9">
        <v>63801001189569</v>
      </c>
      <c r="E47" s="9">
        <v>0</v>
      </c>
      <c r="F47" s="9" t="str">
        <v>Tidak</v>
      </c>
      <c r="G47" s="9" t="str">
        <v>Tidak</v>
      </c>
      <c r="H47" s="9" t="str">
        <v>Tidak</v>
      </c>
      <c r="I47" s="9" t="str">
        <v>Business Email Compromise (BEC)</v>
      </c>
      <c r="J47" s="9">
        <v>30</v>
      </c>
      <c r="K47" s="9">
        <v>13</v>
      </c>
      <c r="L47" s="9" t="str">
        <v>Penipuan</v>
      </c>
      <c r="M47" s="9" t="str">
        <v xml:space="preserve">KC Stabat                               </v>
      </c>
      <c r="N47" s="9" t="str">
        <v xml:space="preserve">KC Stabat                               </v>
      </c>
      <c r="O47" s="9" t="str">
        <v xml:space="preserve">Medan                                   </v>
      </c>
      <c r="P47" s="9" t="str">
        <v>Tidak</v>
      </c>
      <c r="Q47" s="9" t="str">
        <v>Tidak</v>
      </c>
      <c r="R47" s="9" t="str">
        <v>Pending Approver</v>
      </c>
      <c r="S47" s="9" t="str">
        <v>Approved</v>
      </c>
      <c r="T47" s="9" t="str">
        <v>90171841 - Rifqi Aziz</v>
      </c>
      <c r="U47" s="9" t="str">
        <v>"-"</v>
      </c>
      <c r="V47" s="12" t="s">
        <v>34</v>
      </c>
      <c r="W47" s="13">
        <v>46241</v>
      </c>
      <c r="X47" s="14" t="b">
        <v>1</v>
      </c>
      <c r="Y47" t="str">
        <f>_xlfn.XLOOKUP(TRIM(B47), [4]penilaian_STR!$2:$2, [4]penilaian_STR!$44:$44, "")</f>
        <v/>
      </c>
      <c r="AC47" t="str">
        <f t="shared" si="0"/>
        <v>CV CORETRONIC CORP</v>
      </c>
      <c r="AD47" t="s">
        <v>77</v>
      </c>
    </row>
    <row r="48" spans="1:30">
      <c r="A48" s="8">
        <v>46265</v>
      </c>
      <c r="B48" s="9" t="str">
        <v xml:space="preserve">MARIA SOVIA LAU                         </v>
      </c>
      <c r="C48" s="9" t="str">
        <v>MDPEB73</v>
      </c>
      <c r="D48" s="9">
        <v>69201001086561</v>
      </c>
      <c r="E48" s="9">
        <v>0</v>
      </c>
      <c r="F48" s="9" t="str">
        <v>Tidak</v>
      </c>
      <c r="G48" s="9" t="str">
        <v>Tidak</v>
      </c>
      <c r="H48" s="9" t="str">
        <v>Tidak</v>
      </c>
      <c r="I48" s="9" t="str">
        <v>Perpajakan</v>
      </c>
      <c r="J48" s="9">
        <v>45</v>
      </c>
      <c r="K48" s="9">
        <v>1.33</v>
      </c>
      <c r="L48" s="9" t="str">
        <v>Perpajakan</v>
      </c>
      <c r="M48" s="9" t="str">
        <v xml:space="preserve">KCP MEDAN MALL                          </v>
      </c>
      <c r="N48" s="9" t="str">
        <v xml:space="preserve">KC Medan Thamrin                        </v>
      </c>
      <c r="O48" s="9" t="str">
        <v xml:space="preserve">Medan                                   </v>
      </c>
      <c r="P48" s="9" t="str">
        <v>Tidak</v>
      </c>
      <c r="Q48" s="9" t="str">
        <v>Ya</v>
      </c>
      <c r="R48" s="9" t="str">
        <v>Done</v>
      </c>
      <c r="S48" s="9" t="str">
        <v>On Progress</v>
      </c>
      <c r="T48" s="9" t="str">
        <v>90171841 - Rifqi Aziz</v>
      </c>
      <c r="U48" s="9" t="str">
        <v>"-"</v>
      </c>
      <c r="V48" s="12" t="s">
        <v>37</v>
      </c>
      <c r="W48" s="13">
        <v>46241</v>
      </c>
      <c r="X48" s="14" t="b">
        <v>1</v>
      </c>
      <c r="Y48">
        <f>_xlfn.XLOOKUP(TRIM(B48), [4]penilaian_STR!$2:$2, [4]penilaian_STR!$44:$44, "")</f>
        <v>2.7874999999999996</v>
      </c>
      <c r="AC48" t="str">
        <f t="shared" si="0"/>
        <v>MARIA SOVIA LAU</v>
      </c>
      <c r="AD48" t="s">
        <v>78</v>
      </c>
    </row>
    <row r="49" spans="1:30">
      <c r="A49" s="8">
        <v>46265</v>
      </c>
      <c r="B49" s="9" t="str">
        <v xml:space="preserve">KARNI                                   </v>
      </c>
      <c r="C49" s="9" t="str">
        <v>KAM9482</v>
      </c>
      <c r="D49" s="9">
        <v>534001033361537</v>
      </c>
      <c r="E49" s="9" t="str">
        <v>SEDANG</v>
      </c>
      <c r="F49" s="9" t="str">
        <v>Tidak</v>
      </c>
      <c r="G49" s="9" t="str">
        <v>Tidak</v>
      </c>
      <c r="H49" s="9" t="str">
        <v>Tidak</v>
      </c>
      <c r="I49" s="9" t="str">
        <v>Narkotika - Area Lapas</v>
      </c>
      <c r="J49" s="9">
        <v>50</v>
      </c>
      <c r="K49" s="9">
        <v>46</v>
      </c>
      <c r="L49" s="9" t="str">
        <v>Narkotika</v>
      </c>
      <c r="M49" s="9" t="str">
        <v>UNIT SIABU PANYABUNGAN</v>
      </c>
      <c r="N49" s="9" t="str">
        <v>KC Panyabungan</v>
      </c>
      <c r="O49" s="9" t="str">
        <v>Medan</v>
      </c>
      <c r="P49" s="9" t="str">
        <v>Ya</v>
      </c>
      <c r="Q49" s="9" t="str">
        <v>Tidak</v>
      </c>
      <c r="R49" s="9" t="str">
        <v>Done</v>
      </c>
      <c r="S49" s="9" t="str">
        <v>Approved</v>
      </c>
      <c r="T49" s="9" t="str">
        <v>90185538 - Muhammad Fahikal Auz</v>
      </c>
      <c r="U49" s="9" t="str">
        <v>"-"</v>
      </c>
      <c r="V49" s="12" t="s">
        <v>24</v>
      </c>
      <c r="W49" s="13">
        <v>46241</v>
      </c>
      <c r="X49" s="14" t="b">
        <v>1</v>
      </c>
      <c r="Y49" t="str">
        <f>_xlfn.XLOOKUP(TRIM(B49), [4]penilaian_STR!$2:$2, [4]penilaian_STR!$44:$44, "")</f>
        <v/>
      </c>
      <c r="AC49" t="str">
        <f t="shared" si="0"/>
        <v>KARNI</v>
      </c>
      <c r="AD49" t="s">
        <v>79</v>
      </c>
    </row>
    <row r="50" spans="1:30">
      <c r="A50" s="8">
        <v>46265</v>
      </c>
      <c r="B50" s="9" t="str">
        <v xml:space="preserve">PT PEGADAIAN KANWIL MEDAN               </v>
      </c>
      <c r="C50" s="9" t="str">
        <v>K267736</v>
      </c>
      <c r="D50" s="9">
        <v>5301000108306</v>
      </c>
      <c r="E50" s="9" t="str">
        <v>TINGGI</v>
      </c>
      <c r="F50" s="9" t="str">
        <v>Tidak</v>
      </c>
      <c r="G50" s="9" t="str">
        <v>Tidak</v>
      </c>
      <c r="H50" s="9" t="str">
        <v>Tidak</v>
      </c>
      <c r="I50" s="9" t="str">
        <v>Narkotika - Area Lapas</v>
      </c>
      <c r="J50" s="9">
        <v>65</v>
      </c>
      <c r="K50" s="9">
        <v>46</v>
      </c>
      <c r="L50" s="9" t="str">
        <v>Narkotika</v>
      </c>
      <c r="M50" s="9" t="str">
        <v>KC Medan Putri Hijau</v>
      </c>
      <c r="N50" s="9" t="str">
        <v>KC Medan Putri Hijau</v>
      </c>
      <c r="O50" s="9" t="str">
        <v>Medan</v>
      </c>
      <c r="P50" s="9" t="str">
        <v>Tidak</v>
      </c>
      <c r="Q50" s="9" t="str">
        <v>Tidak</v>
      </c>
      <c r="R50" s="9" t="str">
        <v>Done</v>
      </c>
      <c r="S50" s="9" t="str">
        <v>Approved</v>
      </c>
      <c r="T50" s="9" t="str">
        <v>00394521 - Muhammad Hibbanduta</v>
      </c>
      <c r="U50" s="9" t="str">
        <v>"-"</v>
      </c>
      <c r="V50" s="12" t="s">
        <v>31</v>
      </c>
      <c r="W50" s="13">
        <v>46241</v>
      </c>
      <c r="X50" s="14" t="b">
        <v>1</v>
      </c>
      <c r="Y50" t="str">
        <f>_xlfn.XLOOKUP(TRIM(B50), [4]penilaian_STR!$2:$2, [4]penilaian_STR!$44:$44, "")</f>
        <v/>
      </c>
      <c r="AC50" t="str">
        <f t="shared" si="0"/>
        <v>PT PEGADAIAN KANWIL MEDAN</v>
      </c>
      <c r="AD50" t="s">
        <v>80</v>
      </c>
    </row>
    <row r="51" spans="1:30">
      <c r="A51" s="8">
        <v>46265</v>
      </c>
      <c r="B51" s="9" t="str">
        <v xml:space="preserve">IKA SURYANI MELIALA                     </v>
      </c>
      <c r="C51" s="9" t="str">
        <v>IN78368</v>
      </c>
      <c r="D51" s="9">
        <v>5301083494506</v>
      </c>
      <c r="E51" s="9" t="str">
        <v>SEDANG</v>
      </c>
      <c r="F51" s="9" t="str">
        <v>Tidak</v>
      </c>
      <c r="G51" s="9" t="str">
        <v>Tidak</v>
      </c>
      <c r="H51" s="9" t="str">
        <v>Tidak</v>
      </c>
      <c r="I51" s="9" t="str">
        <v>Narkotika - Area Lapas</v>
      </c>
      <c r="J51" s="9">
        <v>56</v>
      </c>
      <c r="K51" s="9">
        <v>48</v>
      </c>
      <c r="L51" s="9" t="str">
        <v>Narkotika</v>
      </c>
      <c r="M51" s="9" t="str">
        <v>KC Medan Putri Hijau</v>
      </c>
      <c r="N51" s="9" t="str">
        <v>KC Medan Putri Hijau</v>
      </c>
      <c r="O51" s="9" t="str">
        <v>Medan</v>
      </c>
      <c r="P51" s="9" t="str">
        <v>Tidak</v>
      </c>
      <c r="Q51" s="9" t="str">
        <v>Tidak</v>
      </c>
      <c r="R51" s="9" t="str">
        <v>Done</v>
      </c>
      <c r="S51" s="9" t="str">
        <v>Approved</v>
      </c>
      <c r="T51" s="9" t="str">
        <v>90185538 - Muhammad Fahikal Auz</v>
      </c>
      <c r="U51" s="9" t="str">
        <v>"-"</v>
      </c>
      <c r="V51" s="12" t="s">
        <v>31</v>
      </c>
      <c r="W51" s="13">
        <v>46241</v>
      </c>
      <c r="X51" s="14" t="b">
        <v>1</v>
      </c>
      <c r="Y51" t="str">
        <f>_xlfn.XLOOKUP(TRIM(B51), [4]penilaian_STR!$2:$2, [4]penilaian_STR!$44:$44, "")</f>
        <v/>
      </c>
      <c r="AC51" t="str">
        <f t="shared" si="0"/>
        <v>IKA SURYANI MELIALA</v>
      </c>
      <c r="AD51" t="s">
        <v>81</v>
      </c>
    </row>
    <row r="52" spans="1:30">
      <c r="A52" s="8">
        <v>46265</v>
      </c>
      <c r="B52" s="9" t="str">
        <v xml:space="preserve">IKM CONFERENCE                          </v>
      </c>
      <c r="C52" s="9" t="str">
        <v>ICTB916</v>
      </c>
      <c r="D52" s="9">
        <v>26601001777565</v>
      </c>
      <c r="E52" s="9">
        <v>0</v>
      </c>
      <c r="F52" s="9" t="str">
        <v>Tidak</v>
      </c>
      <c r="G52" s="9" t="str">
        <v>Tidak</v>
      </c>
      <c r="H52" s="9" t="str">
        <v>Tidak</v>
      </c>
      <c r="I52" s="9" t="str">
        <v>Perpajakan</v>
      </c>
      <c r="J52" s="9">
        <v>33</v>
      </c>
      <c r="K52" s="9">
        <v>41</v>
      </c>
      <c r="L52" s="9" t="str">
        <v>Perpajakan</v>
      </c>
      <c r="M52" s="9" t="str">
        <v xml:space="preserve">KC Lubuk Pakam                          </v>
      </c>
      <c r="N52" s="9" t="str">
        <v xml:space="preserve">KC Lubuk Pakam                          </v>
      </c>
      <c r="O52" s="9" t="str">
        <v xml:space="preserve">Medan                                   </v>
      </c>
      <c r="P52" s="9" t="str">
        <v>Tidak</v>
      </c>
      <c r="Q52" s="9" t="str">
        <v>Tidak</v>
      </c>
      <c r="R52" s="9" t="str">
        <v>Done</v>
      </c>
      <c r="S52" s="9" t="str">
        <v>Approved</v>
      </c>
      <c r="T52" s="9" t="str">
        <v>90186790 - Muhammad Alfin Farha</v>
      </c>
      <c r="U52" s="9" t="str">
        <v>"-"</v>
      </c>
      <c r="V52" s="12" t="s">
        <v>31</v>
      </c>
      <c r="W52" s="13">
        <v>46241</v>
      </c>
      <c r="X52" s="14" t="b">
        <v>1</v>
      </c>
      <c r="Y52" t="str">
        <f>_xlfn.XLOOKUP(TRIM(B52), [4]penilaian_STR!$2:$2, [4]penilaian_STR!$44:$44, "")</f>
        <v/>
      </c>
      <c r="AC52" t="str">
        <f t="shared" si="0"/>
        <v>IKM CONFERENCE</v>
      </c>
      <c r="AD52" t="s">
        <v>82</v>
      </c>
    </row>
    <row r="53" spans="1:30">
      <c r="A53" s="8">
        <v>46265</v>
      </c>
      <c r="B53" s="9" t="str">
        <v xml:space="preserve">BISBON BUTAR BUTAR                      </v>
      </c>
      <c r="C53" s="9" t="str">
        <v>BX89761</v>
      </c>
      <c r="D53" s="9">
        <v>26601056867501</v>
      </c>
      <c r="E53" s="9" t="str">
        <v>SEDANG</v>
      </c>
      <c r="F53" s="9" t="str">
        <v>Tidak</v>
      </c>
      <c r="G53" s="9" t="str">
        <v>Tidak</v>
      </c>
      <c r="H53" s="9" t="str">
        <v>Tidak</v>
      </c>
      <c r="I53" s="9" t="str">
        <v>Narkotika - Area Lapas</v>
      </c>
      <c r="J53" s="9">
        <v>50</v>
      </c>
      <c r="K53" s="9">
        <v>48</v>
      </c>
      <c r="L53" s="9" t="str">
        <v>Narkotika</v>
      </c>
      <c r="M53" s="9" t="str">
        <v>KC Lubuk Pakam</v>
      </c>
      <c r="N53" s="9" t="str">
        <v>KC Lubuk Pakam</v>
      </c>
      <c r="O53" s="9" t="str">
        <v>Medan</v>
      </c>
      <c r="P53" s="9" t="str">
        <v>Ya</v>
      </c>
      <c r="Q53" s="9" t="str">
        <v>Tidak</v>
      </c>
      <c r="R53" s="9" t="str">
        <v>Done</v>
      </c>
      <c r="S53" s="9" t="str">
        <v>Approved</v>
      </c>
      <c r="T53" s="9" t="str">
        <v>90186790 - Muhammad Alfin Farha</v>
      </c>
      <c r="U53" s="9" t="str">
        <v>"-"</v>
      </c>
      <c r="V53" s="12" t="s">
        <v>31</v>
      </c>
      <c r="W53" s="13">
        <v>46241</v>
      </c>
      <c r="X53" s="14" t="b">
        <v>1</v>
      </c>
      <c r="Y53" t="str">
        <f>_xlfn.XLOOKUP(TRIM(B53), [4]penilaian_STR!$2:$2, [4]penilaian_STR!$44:$44, "")</f>
        <v/>
      </c>
      <c r="AC53" t="str">
        <f t="shared" si="0"/>
        <v>BISBON BUTAR BUTAR</v>
      </c>
      <c r="AD53" t="s">
        <v>83</v>
      </c>
    </row>
    <row r="54" spans="1:30">
      <c r="A54" s="8">
        <v>46265</v>
      </c>
      <c r="B54" s="9" t="str">
        <v xml:space="preserve">BUANA SAWIT INDAH                       </v>
      </c>
      <c r="C54" s="9" t="str">
        <v>BR25562</v>
      </c>
      <c r="D54" s="9">
        <v>5301004141306</v>
      </c>
      <c r="E54" s="9" t="str">
        <v>SEDANG</v>
      </c>
      <c r="F54" s="9" t="str">
        <v>Tidak</v>
      </c>
      <c r="G54" s="9" t="str">
        <v>Tidak</v>
      </c>
      <c r="H54" s="9" t="str">
        <v>Tidak</v>
      </c>
      <c r="I54" s="9" t="str">
        <v>Perpajakan</v>
      </c>
      <c r="J54" s="9">
        <v>51</v>
      </c>
      <c r="K54" s="9">
        <v>41</v>
      </c>
      <c r="L54" s="9" t="str">
        <v>Perpajakan</v>
      </c>
      <c r="M54" s="9" t="str">
        <v xml:space="preserve">KC Medan Putri Hijau                    </v>
      </c>
      <c r="N54" s="9" t="str">
        <v xml:space="preserve">KC Medan Putri Hijau                    </v>
      </c>
      <c r="O54" s="9" t="str">
        <v xml:space="preserve">Medan                                   </v>
      </c>
      <c r="P54" s="9" t="str">
        <v>Ya</v>
      </c>
      <c r="Q54" s="9" t="str">
        <v>Tidak</v>
      </c>
      <c r="R54" s="9" t="str">
        <v>Done</v>
      </c>
      <c r="S54" s="9" t="str">
        <v>Approved</v>
      </c>
      <c r="T54" s="9" t="str">
        <v>00394521 - Muhammad Hibbanduta</v>
      </c>
      <c r="U54" s="9" t="str">
        <v>"-"</v>
      </c>
      <c r="V54" s="12" t="s">
        <v>31</v>
      </c>
      <c r="W54" s="13">
        <v>46241</v>
      </c>
      <c r="X54" s="14" t="b">
        <v>1</v>
      </c>
      <c r="Y54" t="str">
        <f>_xlfn.XLOOKUP(TRIM(B54), [4]penilaian_STR!$2:$2, [4]penilaian_STR!$44:$44, "")</f>
        <v/>
      </c>
      <c r="AC54" t="str">
        <f t="shared" si="0"/>
        <v>BUANA SAWIT INDAH</v>
      </c>
      <c r="AD54" t="s">
        <v>84</v>
      </c>
    </row>
    <row r="55" spans="1:30">
      <c r="A55" s="8">
        <v>46265</v>
      </c>
      <c r="B55" s="9" t="str">
        <v xml:space="preserve">CV GRAND CENTRAL UTAMA                  </v>
      </c>
      <c r="C55" s="9" t="str">
        <v>CX53811</v>
      </c>
      <c r="D55" s="9">
        <v>5301889899302</v>
      </c>
      <c r="E55" s="9">
        <v>0</v>
      </c>
      <c r="F55" s="9" t="str">
        <v>Tidak</v>
      </c>
      <c r="G55" s="9" t="str">
        <v>Tidak</v>
      </c>
      <c r="H55" s="9" t="str">
        <v>Tidak</v>
      </c>
      <c r="I55" s="9" t="str">
        <v>Perpajakan</v>
      </c>
      <c r="J55" s="9">
        <v>33</v>
      </c>
      <c r="K55" s="9">
        <v>41</v>
      </c>
      <c r="L55" s="9" t="str">
        <v>Perpajakan</v>
      </c>
      <c r="M55" s="9" t="str">
        <v xml:space="preserve">KC Medan Putri Hijau                    </v>
      </c>
      <c r="N55" s="9" t="str">
        <v xml:space="preserve">KC Medan Putri Hijau                    </v>
      </c>
      <c r="O55" s="9" t="str">
        <v xml:space="preserve">Medan                                   </v>
      </c>
      <c r="P55" s="9" t="str">
        <v>Ya</v>
      </c>
      <c r="Q55" s="9" t="str">
        <v>Tidak</v>
      </c>
      <c r="R55" s="9" t="str">
        <v>Done</v>
      </c>
      <c r="S55" s="9" t="str">
        <v>Approved</v>
      </c>
      <c r="T55" s="9" t="str">
        <v>90186790 - Muhammad Alfin Farha</v>
      </c>
      <c r="U55" s="9" t="str">
        <v>"-"</v>
      </c>
      <c r="V55" s="12" t="s">
        <v>31</v>
      </c>
      <c r="W55" s="13">
        <v>46241</v>
      </c>
      <c r="X55" s="14" t="b">
        <v>1</v>
      </c>
      <c r="Y55" t="str">
        <f>_xlfn.XLOOKUP(TRIM(B55), [4]penilaian_STR!$2:$2, [4]penilaian_STR!$44:$44, "")</f>
        <v/>
      </c>
      <c r="AC55" t="str">
        <f t="shared" si="0"/>
        <v>CV GRAND CENTRAL UTAMA</v>
      </c>
      <c r="AD55" t="s">
        <v>85</v>
      </c>
    </row>
    <row r="56" spans="1:30">
      <c r="A56" s="8">
        <v>46265</v>
      </c>
      <c r="B56" s="9" t="str">
        <v xml:space="preserve">CV ACE PRIMA RESOURCES SDN              </v>
      </c>
      <c r="C56" s="9" t="str">
        <v>CY09262</v>
      </c>
      <c r="D56" s="9">
        <v>531601000087567</v>
      </c>
      <c r="E56" s="9">
        <v>0</v>
      </c>
      <c r="F56" s="9" t="str">
        <v>Tidak</v>
      </c>
      <c r="G56" s="9" t="str">
        <v>Tidak</v>
      </c>
      <c r="H56" s="9" t="str">
        <v>Tidak</v>
      </c>
      <c r="I56" s="9" t="str">
        <v>Business Email Compromise (BEC)</v>
      </c>
      <c r="J56" s="9">
        <v>30</v>
      </c>
      <c r="K56" s="9">
        <v>13</v>
      </c>
      <c r="L56" s="9" t="str">
        <v>Penipuan</v>
      </c>
      <c r="M56" s="9" t="str">
        <v xml:space="preserve">UNIT HELVETIA                           </v>
      </c>
      <c r="N56" s="9" t="str">
        <v xml:space="preserve">KC Medan Gatot Subroto                  </v>
      </c>
      <c r="O56" s="9" t="str">
        <v xml:space="preserve">Medan                                   </v>
      </c>
      <c r="P56" s="9" t="str">
        <v>Tidak</v>
      </c>
      <c r="Q56" s="9" t="str">
        <v>Tidak</v>
      </c>
      <c r="R56" s="9" t="str">
        <v>Done</v>
      </c>
      <c r="S56" s="9" t="str">
        <v>Approved</v>
      </c>
      <c r="T56" s="9" t="str">
        <v>90171841 - Rifqi Aziz</v>
      </c>
      <c r="U56" s="9" t="str">
        <v>"-"</v>
      </c>
      <c r="V56" s="12" t="s">
        <v>37</v>
      </c>
      <c r="W56" s="13">
        <v>46241</v>
      </c>
      <c r="X56" s="14" t="b">
        <v>1</v>
      </c>
      <c r="Y56" t="str">
        <f>_xlfn.XLOOKUP(TRIM(B56), [4]penilaian_STR!$2:$2, [4]penilaian_STR!$44:$44, "")</f>
        <v/>
      </c>
      <c r="AC56" t="str">
        <f t="shared" si="0"/>
        <v>CV ACE PRIMA RESOURCES SDN</v>
      </c>
      <c r="AD56" t="s">
        <v>86</v>
      </c>
    </row>
    <row r="57" spans="1:30">
      <c r="A57" s="8">
        <v>46265</v>
      </c>
      <c r="B57" s="9" t="str">
        <v xml:space="preserve">SAHALA HASOLOAN SIJABAT                 </v>
      </c>
      <c r="C57" s="9" t="str">
        <v>SBWJ418</v>
      </c>
      <c r="D57" s="9">
        <v>5326599000011970</v>
      </c>
      <c r="E57" s="9" t="str">
        <v>TINGGI</v>
      </c>
      <c r="F57" s="9" t="str">
        <v>Tidak</v>
      </c>
      <c r="G57" s="9" t="str">
        <v>Tidak</v>
      </c>
      <c r="H57" s="9" t="str">
        <v>Tidak</v>
      </c>
      <c r="I57" s="9" t="str">
        <v>Private or Priority Customer Investment</v>
      </c>
      <c r="J57" s="9">
        <v>83</v>
      </c>
      <c r="K57" s="9">
        <v>93</v>
      </c>
      <c r="L57" s="9" t="str">
        <v>Pasar Modal</v>
      </c>
      <c r="M57" s="9" t="str">
        <v xml:space="preserve">KC Medan Putri Hijau                    </v>
      </c>
      <c r="N57" s="9" t="str">
        <v xml:space="preserve">KC Medan Putri Hijau                    </v>
      </c>
      <c r="O57" s="9" t="str">
        <v xml:space="preserve">Medan                                   </v>
      </c>
      <c r="P57" s="9" t="str">
        <v>Tidak</v>
      </c>
      <c r="Q57" s="9" t="str">
        <v>Tidak</v>
      </c>
      <c r="R57" s="9" t="str">
        <v>Done</v>
      </c>
      <c r="S57" s="9" t="str">
        <v>Approved</v>
      </c>
      <c r="T57" s="9" t="str">
        <v>00394521 - Muhammad Hibbanduta</v>
      </c>
      <c r="U57" s="9" t="str">
        <v>"-"</v>
      </c>
      <c r="V57" s="12" t="s">
        <v>31</v>
      </c>
      <c r="W57" s="13">
        <v>46241</v>
      </c>
      <c r="X57" s="14" t="b">
        <v>1</v>
      </c>
      <c r="Y57" t="str">
        <f>_xlfn.XLOOKUP(TRIM(B57), [4]penilaian_STR!$2:$2, [4]penilaian_STR!$44:$44, "")</f>
        <v/>
      </c>
      <c r="AC57" t="str">
        <f t="shared" si="0"/>
        <v>SAHALA HASOLOAN SIJABAT</v>
      </c>
      <c r="AD57" t="s">
        <v>87</v>
      </c>
    </row>
    <row r="58" spans="1:30">
      <c r="A58" s="8">
        <v>46265</v>
      </c>
      <c r="B58" s="9" t="str">
        <v xml:space="preserve">SABAR GANDA AND PARTNERS LAW OFFICE     </v>
      </c>
      <c r="C58" s="9" t="str">
        <v>SJDRM20</v>
      </c>
      <c r="D58" s="9">
        <v>36701002831306</v>
      </c>
      <c r="E58" s="9">
        <v>0</v>
      </c>
      <c r="F58" s="9" t="str">
        <v>Tidak</v>
      </c>
      <c r="G58" s="9" t="str">
        <v>Tidak</v>
      </c>
      <c r="H58" s="9" t="str">
        <v>Tidak</v>
      </c>
      <c r="I58" s="9" t="str">
        <v>Perpajakan</v>
      </c>
      <c r="J58" s="9">
        <v>33</v>
      </c>
      <c r="K58" s="9">
        <v>41</v>
      </c>
      <c r="L58" s="9" t="str">
        <v>Perpajakan</v>
      </c>
      <c r="M58" s="9" t="str">
        <v xml:space="preserve">KC Medan Sisingamangaraja               </v>
      </c>
      <c r="N58" s="9" t="str">
        <v xml:space="preserve">KC Medan Sisingamangaraja               </v>
      </c>
      <c r="O58" s="9" t="str">
        <v xml:space="preserve">Medan                                   </v>
      </c>
      <c r="P58" s="9" t="str">
        <v>Tidak</v>
      </c>
      <c r="Q58" s="9" t="str">
        <v>Tidak</v>
      </c>
      <c r="R58" s="9" t="str">
        <v>Done</v>
      </c>
      <c r="S58" s="9" t="str">
        <v>Approved</v>
      </c>
      <c r="T58" s="9" t="str">
        <v>90185538 - Muhammad Fahikal Auz</v>
      </c>
      <c r="U58" s="9" t="str">
        <v>"-"</v>
      </c>
      <c r="V58" s="12" t="s">
        <v>24</v>
      </c>
      <c r="W58" s="13">
        <v>46241</v>
      </c>
      <c r="X58" s="14" t="b">
        <v>1</v>
      </c>
      <c r="Y58" t="str">
        <f>_xlfn.XLOOKUP(TRIM(B58), [4]penilaian_STR!$2:$2, [4]penilaian_STR!$44:$44, "")</f>
        <v/>
      </c>
      <c r="AC58" t="str">
        <f t="shared" si="0"/>
        <v>SABAR GANDA AND PARTNERS LAW OFFICE</v>
      </c>
      <c r="AD58" t="s">
        <v>88</v>
      </c>
    </row>
    <row r="59" spans="1:30">
      <c r="A59" s="8">
        <v>46265</v>
      </c>
      <c r="B59" s="9" t="str">
        <v xml:space="preserve">SAPADIA WISATA                          </v>
      </c>
      <c r="C59" s="9" t="str">
        <v>SMPT441</v>
      </c>
      <c r="D59" s="9">
        <v>11301000823300</v>
      </c>
      <c r="E59" s="9" t="str">
        <v>SEDANG</v>
      </c>
      <c r="F59" s="9" t="str">
        <v>Tidak</v>
      </c>
      <c r="G59" s="9" t="str">
        <v>Tidak</v>
      </c>
      <c r="H59" s="9" t="str">
        <v>Tidak</v>
      </c>
      <c r="I59" s="9" t="str">
        <v>Perpajakan</v>
      </c>
      <c r="J59" s="9">
        <v>48</v>
      </c>
      <c r="K59" s="9">
        <v>41</v>
      </c>
      <c r="L59" s="9" t="str">
        <v>Perpajakan</v>
      </c>
      <c r="M59" s="9" t="str">
        <v xml:space="preserve">KC Pematang Siantar                     </v>
      </c>
      <c r="N59" s="9" t="str">
        <v xml:space="preserve">KC Pematang Siantar                     </v>
      </c>
      <c r="O59" s="9" t="str">
        <v xml:space="preserve">Medan                                   </v>
      </c>
      <c r="P59" s="9" t="str">
        <v>Tidak</v>
      </c>
      <c r="Q59" s="9" t="str">
        <v>Ya</v>
      </c>
      <c r="R59" s="9" t="str">
        <v>Done</v>
      </c>
      <c r="S59" s="9" t="str">
        <v>Approved</v>
      </c>
      <c r="T59" s="9" t="str">
        <v>00394520 - Frida Akbar Rani</v>
      </c>
      <c r="U59" s="9" t="str">
        <v>"-"</v>
      </c>
      <c r="V59" s="12" t="s">
        <v>24</v>
      </c>
      <c r="W59" s="13">
        <v>46241</v>
      </c>
      <c r="X59" s="14" t="b">
        <v>1</v>
      </c>
      <c r="Y59">
        <f>_xlfn.XLOOKUP(TRIM(B59), [4]penilaian_STR!$2:$2, [4]penilaian_STR!$44:$44, "")</f>
        <v>2.4093749999999998</v>
      </c>
      <c r="AC59" t="str">
        <f t="shared" si="0"/>
        <v>SAPADIA WISATA</v>
      </c>
      <c r="AD59" t="s">
        <v>89</v>
      </c>
    </row>
    <row r="60" spans="1:30">
      <c r="A60" s="8">
        <v>46265</v>
      </c>
      <c r="B60" s="9" t="str">
        <v xml:space="preserve">PUTRA MARIANUS TARIGAN                  </v>
      </c>
      <c r="C60" s="9" t="str">
        <v>PN04131</v>
      </c>
      <c r="D60" s="9">
        <v>15401042614501</v>
      </c>
      <c r="E60" s="9" t="str">
        <v>SEDANG</v>
      </c>
      <c r="F60" s="9" t="str">
        <v>Tidak</v>
      </c>
      <c r="G60" s="9" t="str">
        <v>Tidak</v>
      </c>
      <c r="H60" s="9" t="str">
        <v>Tidak</v>
      </c>
      <c r="I60" s="9" t="str">
        <v>Narkotika - Area Lapas</v>
      </c>
      <c r="J60" s="9">
        <v>51</v>
      </c>
      <c r="K60" s="9">
        <v>48</v>
      </c>
      <c r="L60" s="9" t="str">
        <v>Narkotika</v>
      </c>
      <c r="M60" s="9" t="str">
        <v>KC Tanjung Balai</v>
      </c>
      <c r="N60" s="9" t="str">
        <v>KC Tanjung Balai</v>
      </c>
      <c r="O60" s="9" t="str">
        <v>Medan</v>
      </c>
      <c r="P60" s="9" t="str">
        <v>Tidak</v>
      </c>
      <c r="Q60" s="9" t="str">
        <v>Ya</v>
      </c>
      <c r="R60" s="9" t="str">
        <v>Done</v>
      </c>
      <c r="S60" s="9" t="str">
        <v>Approved</v>
      </c>
      <c r="T60" s="9" t="str">
        <v>90185537 - Moh.Khoerul Fajar Ar</v>
      </c>
      <c r="U60" s="9" t="str">
        <v>"-"</v>
      </c>
      <c r="V60" s="12" t="s">
        <v>24</v>
      </c>
      <c r="W60" s="13">
        <v>46241</v>
      </c>
      <c r="X60" s="14" t="b">
        <v>1</v>
      </c>
      <c r="Y60">
        <f>_xlfn.XLOOKUP(TRIM(B60), [4]penilaian_STR!$2:$2, [4]penilaian_STR!$44:$44, "")</f>
        <v>3.1968749999999999</v>
      </c>
      <c r="AC60" t="str">
        <f t="shared" si="0"/>
        <v>PUTRA MARIANUS TARIGAN</v>
      </c>
      <c r="AD60" t="s">
        <v>90</v>
      </c>
    </row>
    <row r="61" spans="1:30">
      <c r="A61" s="8">
        <v>46265</v>
      </c>
      <c r="B61" s="9" t="str">
        <v xml:space="preserve">PT PRIORITAS BAHAGIA BERSAMA            </v>
      </c>
      <c r="C61" s="9" t="str">
        <v>POH2560</v>
      </c>
      <c r="D61" s="9">
        <v>5301007821565</v>
      </c>
      <c r="E61" s="9">
        <v>0</v>
      </c>
      <c r="F61" s="9" t="str">
        <v>Tidak</v>
      </c>
      <c r="G61" s="9" t="str">
        <v>Tidak</v>
      </c>
      <c r="H61" s="9" t="str">
        <v>Tidak</v>
      </c>
      <c r="I61" s="9" t="str">
        <v>Perpajakan</v>
      </c>
      <c r="J61" s="9">
        <v>33</v>
      </c>
      <c r="K61" s="9">
        <v>41</v>
      </c>
      <c r="L61" s="9" t="str">
        <v>Perpajakan</v>
      </c>
      <c r="M61" s="9" t="str">
        <v xml:space="preserve">KC Medan Putri Hijau                    </v>
      </c>
      <c r="N61" s="9" t="str">
        <v xml:space="preserve">KC Medan Putri Hijau                    </v>
      </c>
      <c r="O61" s="9" t="str">
        <v xml:space="preserve">Medan                                   </v>
      </c>
      <c r="P61" s="9" t="str">
        <v>Ya</v>
      </c>
      <c r="Q61" s="9" t="str">
        <v>Tidak</v>
      </c>
      <c r="R61" s="9" t="str">
        <v>Done</v>
      </c>
      <c r="S61" s="9" t="str">
        <v>Approved</v>
      </c>
      <c r="T61" s="9" t="str">
        <v>00336949 - Mochammad Al Farabi</v>
      </c>
      <c r="U61" s="9" t="str">
        <v>"-"</v>
      </c>
      <c r="V61" s="12" t="s">
        <v>31</v>
      </c>
      <c r="W61" s="13">
        <v>46241</v>
      </c>
      <c r="X61" s="14" t="b">
        <v>1</v>
      </c>
      <c r="Y61" t="str">
        <f>_xlfn.XLOOKUP(TRIM(B61), [4]penilaian_STR!$2:$2, [4]penilaian_STR!$44:$44, "")</f>
        <v/>
      </c>
      <c r="AC61" t="str">
        <f t="shared" si="0"/>
        <v>PT PRIORITAS BAHAGIA BERSAMA</v>
      </c>
      <c r="AD61" t="s">
        <v>91</v>
      </c>
    </row>
    <row r="62" spans="1:30">
      <c r="A62" s="8">
        <v>46265</v>
      </c>
      <c r="B62" s="9" t="str">
        <v xml:space="preserve">MULTI CENTRAL SARANA                    </v>
      </c>
      <c r="C62" s="9" t="str">
        <v>MCXJF13</v>
      </c>
      <c r="D62" s="9">
        <v>5301800900306</v>
      </c>
      <c r="E62" s="9">
        <v>0</v>
      </c>
      <c r="F62" s="9" t="str">
        <v>Tidak</v>
      </c>
      <c r="G62" s="9" t="str">
        <v>Tidak</v>
      </c>
      <c r="H62" s="9" t="str">
        <v>Tidak</v>
      </c>
      <c r="I62" s="9" t="str">
        <v>Perpajakan</v>
      </c>
      <c r="J62" s="9">
        <v>33</v>
      </c>
      <c r="K62" s="9">
        <v>41</v>
      </c>
      <c r="L62" s="9" t="str">
        <v>Perpajakan</v>
      </c>
      <c r="M62" s="9" t="str">
        <v xml:space="preserve">KC Medan Putri Hijau                    </v>
      </c>
      <c r="N62" s="9" t="str">
        <v xml:space="preserve">KC Medan Putri Hijau                    </v>
      </c>
      <c r="O62" s="9" t="str">
        <v xml:space="preserve">Medan                                   </v>
      </c>
      <c r="P62" s="9" t="str">
        <v>Ya</v>
      </c>
      <c r="Q62" s="9" t="str">
        <v>Tidak</v>
      </c>
      <c r="R62" s="9" t="str">
        <v>Done</v>
      </c>
      <c r="S62" s="9" t="str">
        <v>Approved</v>
      </c>
      <c r="T62" s="9" t="str">
        <v>90150130 - Intan Aida Pratiwi</v>
      </c>
      <c r="U62" s="9" t="str">
        <v>"-"</v>
      </c>
      <c r="V62" s="12" t="s">
        <v>31</v>
      </c>
      <c r="W62" s="13">
        <v>46241</v>
      </c>
      <c r="X62" s="14" t="b">
        <v>1</v>
      </c>
      <c r="Y62" t="str">
        <f>_xlfn.XLOOKUP(TRIM(B62), [4]penilaian_STR!$2:$2, [4]penilaian_STR!$44:$44, "")</f>
        <v/>
      </c>
      <c r="AC62" t="str">
        <f t="shared" si="0"/>
        <v>MULTI CENTRAL SARANA</v>
      </c>
      <c r="AD62" t="s">
        <v>92</v>
      </c>
    </row>
    <row r="63" spans="1:30">
      <c r="A63" s="8">
        <v>46265</v>
      </c>
      <c r="B63" s="9" t="str">
        <v xml:space="preserve">BERLIAN NUSANTARA PERKASA               </v>
      </c>
      <c r="C63" s="9" t="str">
        <v>BFV4068</v>
      </c>
      <c r="D63" s="9">
        <v>5301006303302</v>
      </c>
      <c r="E63" s="9" t="str">
        <v>TINGGI</v>
      </c>
      <c r="F63" s="9" t="str">
        <v>Tidak</v>
      </c>
      <c r="G63" s="9" t="str">
        <v>Tidak</v>
      </c>
      <c r="H63" s="9" t="str">
        <v>Tidak</v>
      </c>
      <c r="I63" s="9" t="str">
        <v>Green Financial Crime (GFC)</v>
      </c>
      <c r="J63" s="9">
        <v>65</v>
      </c>
      <c r="K63" s="9">
        <v>45</v>
      </c>
      <c r="L63" s="9" t="str">
        <v>Green Financial Crime</v>
      </c>
      <c r="M63" s="9" t="str">
        <v xml:space="preserve">KC Medan Putri Hijau                    </v>
      </c>
      <c r="N63" s="9" t="str">
        <v xml:space="preserve">KC Medan Putri Hijau                    </v>
      </c>
      <c r="O63" s="9" t="str">
        <v xml:space="preserve">Medan                                   </v>
      </c>
      <c r="P63" s="9" t="str">
        <v>Ya</v>
      </c>
      <c r="Q63" s="9">
        <v>0</v>
      </c>
      <c r="R63" s="9" t="str">
        <v>Rejected Approver</v>
      </c>
      <c r="S63" s="9" t="str">
        <v>Belum TL</v>
      </c>
      <c r="T63" s="9" t="str">
        <v>90186796 - Devito Arya Wiradila</v>
      </c>
      <c r="U63" s="9" t="str">
        <v>PEP :-</v>
      </c>
      <c r="V63" s="12" t="s">
        <v>31</v>
      </c>
      <c r="W63" s="13">
        <v>46241</v>
      </c>
      <c r="X63" s="14" t="b">
        <v>1</v>
      </c>
      <c r="Y63" t="str">
        <f>_xlfn.XLOOKUP(TRIM(B63), [4]penilaian_STR!$2:$2, [4]penilaian_STR!$44:$44, "")</f>
        <v/>
      </c>
      <c r="AC63" t="str">
        <f t="shared" si="0"/>
        <v>BERLIAN NUSANTARA PERKASA</v>
      </c>
      <c r="AD63" t="s">
        <v>93</v>
      </c>
    </row>
  </sheetData>
  <protectedRanges>
    <protectedRange sqref="V1:X63" name="Range2"/>
  </protectedRanges>
  <autoFilter ref="V1:V63" xr:uid="{5D929615-8C3A-47EA-A934-C22D5264FDC7}"/>
  <mergeCells count="4">
    <mergeCell ref="Z9:Z11"/>
    <mergeCell ref="Z12:Z14"/>
    <mergeCell ref="Z3:Z5"/>
    <mergeCell ref="Z6:Z8"/>
  </mergeCells>
  <dataValidations count="1">
    <dataValidation type="list" allowBlank="1" showInputMessage="1" showErrorMessage="1" sqref="V2:V63" xr:uid="{BD7193DB-60F4-463D-B1F9-9B8CD7CD05D9}">
      <formula1>"Herry Kurniawan, Zulkarnain, Bambang Dwi Raharjo, Richard Siburian"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26"/>
  <sheetViews>
    <sheetView workbookViewId="0">
      <selection activeCell="D4" sqref="D4"/>
    </sheetView>
  </sheetViews>
  <sheetFormatPr defaultRowHeight="15" customHeight="1"/>
  <cols>
    <col min="1" max="1" width="5.5703125" customWidth="1"/>
    <col min="2" max="2" width="30.85546875" customWidth="1"/>
    <col min="3" max="3" width="22.7109375" customWidth="1"/>
    <col min="4" max="4" width="13.7109375" bestFit="1" customWidth="1"/>
    <col min="5" max="5" width="8.28515625" bestFit="1" customWidth="1"/>
  </cols>
  <sheetData>
    <row r="1" spans="1:5">
      <c r="D1" s="49">
        <v>46280</v>
      </c>
      <c r="E1" s="50"/>
    </row>
    <row r="2" spans="1:5">
      <c r="A2" s="15" t="s">
        <v>94</v>
      </c>
      <c r="B2" s="15" t="s">
        <v>95</v>
      </c>
      <c r="C2" s="15" t="s">
        <v>96</v>
      </c>
      <c r="D2" s="16" t="s">
        <v>97</v>
      </c>
      <c r="E2" s="16" t="s">
        <v>98</v>
      </c>
    </row>
    <row r="3" spans="1:5">
      <c r="A3" s="9">
        <v>3</v>
      </c>
      <c r="B3" s="17" t="s">
        <v>99</v>
      </c>
      <c r="C3" s="9" t="s">
        <v>31</v>
      </c>
      <c r="D3" s="18">
        <f>_xlfn.XLOOKUP(B3, [2]PEP!$B:$B,[2]PEP!$G:$G)</f>
        <v>0.9859154929577465</v>
      </c>
      <c r="E3" s="51">
        <f>AVERAGE(D3:D8)</f>
        <v>0.98043985661356547</v>
      </c>
    </row>
    <row r="4" spans="1:5">
      <c r="A4" s="9">
        <v>4</v>
      </c>
      <c r="B4" s="17" t="s">
        <v>100</v>
      </c>
      <c r="C4" s="9" t="s">
        <v>31</v>
      </c>
      <c r="D4" s="18">
        <f>_xlfn.XLOOKUP(B4, [2]PEP!$B:$B,[2]PEP!$G:$G)</f>
        <v>0.97222222222222221</v>
      </c>
      <c r="E4" s="52"/>
    </row>
    <row r="5" spans="1:5">
      <c r="A5" s="9">
        <v>5</v>
      </c>
      <c r="B5" s="17" t="s">
        <v>101</v>
      </c>
      <c r="C5" s="9" t="s">
        <v>31</v>
      </c>
      <c r="D5" s="18">
        <f>_xlfn.XLOOKUP(B5, [2]PEP!$B:$B,[2]PEP!$G:$G)</f>
        <v>1</v>
      </c>
      <c r="E5" s="52"/>
    </row>
    <row r="6" spans="1:5">
      <c r="A6" s="9">
        <v>7</v>
      </c>
      <c r="B6" s="17" t="s">
        <v>102</v>
      </c>
      <c r="C6" s="9" t="s">
        <v>31</v>
      </c>
      <c r="D6" s="18">
        <f>_xlfn.XLOOKUP(B6, [2]PEP!$B:$B,[2]PEP!$G:$G)</f>
        <v>1</v>
      </c>
      <c r="E6" s="52"/>
    </row>
    <row r="7" spans="1:5">
      <c r="A7" s="9">
        <v>10</v>
      </c>
      <c r="B7" s="17" t="s">
        <v>103</v>
      </c>
      <c r="C7" s="9" t="s">
        <v>31</v>
      </c>
      <c r="D7" s="18">
        <f>_xlfn.XLOOKUP(B7, [2]PEP!$B:$B,[2]PEP!$G:$G)</f>
        <v>0.96153846153846156</v>
      </c>
      <c r="E7" s="52"/>
    </row>
    <row r="8" spans="1:5">
      <c r="A8" s="9">
        <v>20</v>
      </c>
      <c r="B8" s="17" t="s">
        <v>104</v>
      </c>
      <c r="C8" s="9" t="s">
        <v>31</v>
      </c>
      <c r="D8" s="18">
        <f>_xlfn.XLOOKUP(B8, [2]PEP!$B:$B,[2]PEP!$G:$G)</f>
        <v>0.96296296296296291</v>
      </c>
      <c r="E8" s="53"/>
    </row>
    <row r="9" spans="1:5">
      <c r="A9" s="9">
        <v>9</v>
      </c>
      <c r="B9" s="17" t="s">
        <v>105</v>
      </c>
      <c r="C9" s="9" t="s">
        <v>34</v>
      </c>
      <c r="D9" s="18">
        <f>_xlfn.XLOOKUP(B9, [2]PEP!$B:$B,[2]PEP!$G:$G)</f>
        <v>0.98773006134969321</v>
      </c>
      <c r="E9" s="51">
        <f>AVERAGE(D9:D14)</f>
        <v>0.99227157743154171</v>
      </c>
    </row>
    <row r="10" spans="1:5">
      <c r="A10" s="9">
        <v>13</v>
      </c>
      <c r="B10" s="17" t="s">
        <v>106</v>
      </c>
      <c r="C10" s="9" t="s">
        <v>34</v>
      </c>
      <c r="D10" s="18">
        <f>_xlfn.XLOOKUP(B10, [2]PEP!$B:$B,[2]PEP!$G:$G)</f>
        <v>0.98550724637681164</v>
      </c>
      <c r="E10" s="52"/>
    </row>
    <row r="11" spans="1:5">
      <c r="A11" s="9">
        <v>16</v>
      </c>
      <c r="B11" s="17" t="s">
        <v>107</v>
      </c>
      <c r="C11" s="9" t="s">
        <v>34</v>
      </c>
      <c r="D11" s="18">
        <f>_xlfn.XLOOKUP(B11, [2]PEP!$B:$B,[2]PEP!$G:$G)</f>
        <v>1</v>
      </c>
      <c r="E11" s="52"/>
    </row>
    <row r="12" spans="1:5">
      <c r="A12" s="9">
        <v>19</v>
      </c>
      <c r="B12" s="17" t="s">
        <v>108</v>
      </c>
      <c r="C12" s="9" t="s">
        <v>34</v>
      </c>
      <c r="D12" s="18">
        <f>_xlfn.XLOOKUP(B12, [2]PEP!$B:$B,[2]PEP!$G:$G)</f>
        <v>1</v>
      </c>
      <c r="E12" s="52"/>
    </row>
    <row r="13" spans="1:5">
      <c r="A13" s="9">
        <v>21</v>
      </c>
      <c r="B13" s="17" t="s">
        <v>109</v>
      </c>
      <c r="C13" s="9" t="s">
        <v>34</v>
      </c>
      <c r="D13" s="18">
        <f>_xlfn.XLOOKUP(B13, [2]PEP!$B:$B,[2]PEP!$G:$G)</f>
        <v>0.98039215686274506</v>
      </c>
      <c r="E13" s="52"/>
    </row>
    <row r="14" spans="1:5">
      <c r="A14" s="9">
        <v>23</v>
      </c>
      <c r="B14" s="17" t="s">
        <v>110</v>
      </c>
      <c r="C14" s="9" t="s">
        <v>34</v>
      </c>
      <c r="D14" s="18">
        <f>_xlfn.XLOOKUP(B14, [2]PEP!$B:$B,[2]PEP!$G:$G)</f>
        <v>1</v>
      </c>
      <c r="E14" s="53"/>
    </row>
    <row r="15" spans="1:5">
      <c r="A15" s="9">
        <v>6</v>
      </c>
      <c r="B15" s="17" t="s">
        <v>111</v>
      </c>
      <c r="C15" s="9" t="s">
        <v>37</v>
      </c>
      <c r="D15" s="18">
        <f>_xlfn.XLOOKUP(B15, [2]PEP!$B:$B,[2]PEP!$G:$G)</f>
        <v>1</v>
      </c>
      <c r="E15" s="51">
        <f>AVERAGE(D15:D20)</f>
        <v>0.99253393665158374</v>
      </c>
    </row>
    <row r="16" spans="1:5">
      <c r="A16" s="9">
        <v>8</v>
      </c>
      <c r="B16" s="17" t="s">
        <v>112</v>
      </c>
      <c r="C16" s="9" t="s">
        <v>37</v>
      </c>
      <c r="D16" s="18">
        <f>_xlfn.XLOOKUP(B16, [2]PEP!$B:$B,[2]PEP!$G:$G)</f>
        <v>1</v>
      </c>
      <c r="E16" s="52"/>
    </row>
    <row r="17" spans="1:5">
      <c r="A17" s="9">
        <v>12</v>
      </c>
      <c r="B17" s="17" t="s">
        <v>113</v>
      </c>
      <c r="C17" s="9" t="s">
        <v>37</v>
      </c>
      <c r="D17" s="18">
        <f>_xlfn.XLOOKUP(B17, [2]PEP!$B:$B,[2]PEP!$G:$G)</f>
        <v>0.98461538461538467</v>
      </c>
      <c r="E17" s="52"/>
    </row>
    <row r="18" spans="1:5">
      <c r="A18" s="9">
        <v>17</v>
      </c>
      <c r="B18" s="17" t="s">
        <v>114</v>
      </c>
      <c r="C18" s="9" t="s">
        <v>37</v>
      </c>
      <c r="D18" s="18">
        <f>_xlfn.XLOOKUP(B18, [2]PEP!$B:$B,[2]PEP!$G:$G)</f>
        <v>1</v>
      </c>
      <c r="E18" s="52"/>
    </row>
    <row r="19" spans="1:5">
      <c r="A19" s="9">
        <v>18</v>
      </c>
      <c r="B19" s="17" t="s">
        <v>115</v>
      </c>
      <c r="C19" s="9" t="s">
        <v>37</v>
      </c>
      <c r="D19" s="18">
        <f>_xlfn.XLOOKUP(B19, [2]PEP!$B:$B,[2]PEP!$G:$G)</f>
        <v>0.97058823529411764</v>
      </c>
      <c r="E19" s="52"/>
    </row>
    <row r="20" spans="1:5">
      <c r="A20" s="9">
        <v>24</v>
      </c>
      <c r="B20" s="17" t="s">
        <v>116</v>
      </c>
      <c r="C20" s="9" t="s">
        <v>37</v>
      </c>
      <c r="D20" s="18">
        <f>_xlfn.XLOOKUP(B20, [2]PEP!$B:$B,[2]PEP!$G:$G)</f>
        <v>1</v>
      </c>
      <c r="E20" s="53"/>
    </row>
    <row r="21" spans="1:5">
      <c r="A21" s="9">
        <v>1</v>
      </c>
      <c r="B21" s="17" t="s">
        <v>117</v>
      </c>
      <c r="C21" s="9" t="s">
        <v>24</v>
      </c>
      <c r="D21" s="18">
        <f>_xlfn.XLOOKUP(B21, [2]PEP!$B:$B,[2]PEP!$G:$G)</f>
        <v>1</v>
      </c>
      <c r="E21" s="51">
        <f>AVERAGE(D21:D26)</f>
        <v>0.97114232189420158</v>
      </c>
    </row>
    <row r="22" spans="1:5">
      <c r="A22" s="9">
        <v>2</v>
      </c>
      <c r="B22" s="17" t="s">
        <v>118</v>
      </c>
      <c r="C22" s="9" t="s">
        <v>24</v>
      </c>
      <c r="D22" s="18">
        <f>_xlfn.XLOOKUP(B22, [2]PEP!$B:$B,[2]PEP!$G:$G)</f>
        <v>0.97959183673469385</v>
      </c>
      <c r="E22" s="52"/>
    </row>
    <row r="23" spans="1:5">
      <c r="A23" s="9">
        <v>11</v>
      </c>
      <c r="B23" s="17" t="s">
        <v>119</v>
      </c>
      <c r="C23" s="9" t="s">
        <v>24</v>
      </c>
      <c r="D23" s="18">
        <f>_xlfn.XLOOKUP(B23, [2]PEP!$B:$B,[2]PEP!$G:$G)</f>
        <v>0.96363636363636362</v>
      </c>
      <c r="E23" s="52"/>
    </row>
    <row r="24" spans="1:5">
      <c r="A24" s="9">
        <v>14</v>
      </c>
      <c r="B24" s="17" t="s">
        <v>120</v>
      </c>
      <c r="C24" s="9" t="s">
        <v>24</v>
      </c>
      <c r="D24" s="18">
        <f>_xlfn.XLOOKUP(B24, [2]PEP!$B:$B,[2]PEP!$G:$G)</f>
        <v>0.89473684210526316</v>
      </c>
      <c r="E24" s="52"/>
    </row>
    <row r="25" spans="1:5">
      <c r="A25" s="9">
        <v>15</v>
      </c>
      <c r="B25" s="19" t="s">
        <v>121</v>
      </c>
      <c r="C25" s="9" t="s">
        <v>24</v>
      </c>
      <c r="D25" s="18">
        <f>_xlfn.XLOOKUP(B25, [2]PEP!$B:$B,[2]PEP!$G:$G)</f>
        <v>0.98888888888888893</v>
      </c>
      <c r="E25" s="52"/>
    </row>
    <row r="26" spans="1:5">
      <c r="A26" s="9">
        <v>22</v>
      </c>
      <c r="B26" s="17" t="s">
        <v>122</v>
      </c>
      <c r="C26" s="9" t="s">
        <v>24</v>
      </c>
      <c r="D26" s="18">
        <f>_xlfn.XLOOKUP(B26, [2]PEP!$B:$B,[2]PEP!$G:$G)</f>
        <v>1</v>
      </c>
      <c r="E26" s="53"/>
    </row>
  </sheetData>
  <autoFilter ref="B2:D2" xr:uid="{41D34422-91B6-4A51-943A-538253BDFA20}">
    <sortState xmlns:xlrd2="http://schemas.microsoft.com/office/spreadsheetml/2017/richdata2" ref="B3:D26">
      <sortCondition ref="C2"/>
    </sortState>
  </autoFilter>
  <mergeCells count="5">
    <mergeCell ref="D1:E1"/>
    <mergeCell ref="E3:E8"/>
    <mergeCell ref="E9:E14"/>
    <mergeCell ref="E15:E20"/>
    <mergeCell ref="E21:E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2621-183F-4D0C-8FF4-759C3CE58295}">
  <sheetPr>
    <tabColor theme="6" tint="-0.249977111117893"/>
  </sheetPr>
  <dimension ref="A1:E26"/>
  <sheetViews>
    <sheetView workbookViewId="0">
      <selection activeCell="D3" sqref="D3"/>
    </sheetView>
  </sheetViews>
  <sheetFormatPr defaultRowHeight="14.45"/>
  <cols>
    <col min="1" max="1" width="5.5703125" customWidth="1"/>
    <col min="2" max="2" width="30.85546875" customWidth="1"/>
    <col min="3" max="3" width="22.7109375" customWidth="1"/>
  </cols>
  <sheetData>
    <row r="1" spans="1:5">
      <c r="D1" s="49">
        <v>46280</v>
      </c>
      <c r="E1" s="50"/>
    </row>
    <row r="2" spans="1:5" ht="15">
      <c r="A2" s="4" t="s">
        <v>94</v>
      </c>
      <c r="B2" s="4" t="s">
        <v>95</v>
      </c>
      <c r="C2" s="4" t="s">
        <v>96</v>
      </c>
      <c r="D2" s="16" t="s">
        <v>123</v>
      </c>
      <c r="E2" s="16" t="s">
        <v>98</v>
      </c>
    </row>
    <row r="3" spans="1:5" ht="14.45" customHeight="1">
      <c r="A3" s="3">
        <v>1</v>
      </c>
      <c r="B3" s="1" t="s">
        <v>99</v>
      </c>
      <c r="C3" s="3" t="s">
        <v>31</v>
      </c>
      <c r="D3" s="18">
        <f>_xlfn.XLOOKUP(B3, '[2]Bad Data'!$B:$B, '[2]Bad Data'!$D:$D)</f>
        <v>8.3000000000000001E-4</v>
      </c>
      <c r="E3" s="51">
        <f>AVERAGE(D3:D8)</f>
        <v>1.6883333333333331E-3</v>
      </c>
    </row>
    <row r="4" spans="1:5" ht="14.45" customHeight="1">
      <c r="A4" s="3">
        <v>2</v>
      </c>
      <c r="B4" s="1" t="s">
        <v>100</v>
      </c>
      <c r="C4" s="3" t="s">
        <v>31</v>
      </c>
      <c r="D4" s="18">
        <f>_xlfn.XLOOKUP(B4, '[2]Bad Data'!$B:$B, '[2]Bad Data'!$D:$D)</f>
        <v>2.3500000000000001E-3</v>
      </c>
      <c r="E4" s="52"/>
    </row>
    <row r="5" spans="1:5" ht="14.45" customHeight="1">
      <c r="A5" s="3">
        <v>3</v>
      </c>
      <c r="B5" s="1" t="s">
        <v>101</v>
      </c>
      <c r="C5" s="3" t="s">
        <v>31</v>
      </c>
      <c r="D5" s="18">
        <f>_xlfn.XLOOKUP(B5, '[2]Bad Data'!$B:$B, '[2]Bad Data'!$D:$D)</f>
        <v>2.9299999999999999E-3</v>
      </c>
      <c r="E5" s="52"/>
    </row>
    <row r="6" spans="1:5" ht="14.45" customHeight="1">
      <c r="A6" s="3">
        <v>4</v>
      </c>
      <c r="B6" s="1" t="s">
        <v>102</v>
      </c>
      <c r="C6" s="3" t="s">
        <v>31</v>
      </c>
      <c r="D6" s="18">
        <f>_xlfn.XLOOKUP(B6, '[2]Bad Data'!$B:$B, '[2]Bad Data'!$D:$D)</f>
        <v>6.2E-4</v>
      </c>
      <c r="E6" s="52"/>
    </row>
    <row r="7" spans="1:5" ht="14.45" customHeight="1">
      <c r="A7" s="3">
        <v>5</v>
      </c>
      <c r="B7" s="1" t="s">
        <v>103</v>
      </c>
      <c r="C7" s="3" t="s">
        <v>31</v>
      </c>
      <c r="D7" s="18">
        <f>_xlfn.XLOOKUP(B7, '[2]Bad Data'!$B:$B, '[2]Bad Data'!$D:$D)</f>
        <v>1.2999999999999999E-3</v>
      </c>
      <c r="E7" s="52"/>
    </row>
    <row r="8" spans="1:5" ht="14.45" customHeight="1">
      <c r="A8" s="3">
        <v>6</v>
      </c>
      <c r="B8" s="1" t="s">
        <v>104</v>
      </c>
      <c r="C8" s="3" t="s">
        <v>31</v>
      </c>
      <c r="D8" s="18">
        <f>_xlfn.XLOOKUP(B8, '[2]Bad Data'!$B:$B, '[2]Bad Data'!$D:$D)</f>
        <v>2.0999999999999999E-3</v>
      </c>
      <c r="E8" s="53"/>
    </row>
    <row r="9" spans="1:5" ht="14.45" customHeight="1">
      <c r="A9" s="3">
        <v>7</v>
      </c>
      <c r="B9" s="1" t="s">
        <v>105</v>
      </c>
      <c r="C9" s="3" t="s">
        <v>34</v>
      </c>
      <c r="D9" s="18">
        <f>_xlfn.XLOOKUP(B9, '[2]Bad Data'!$B:$B, '[2]Bad Data'!$D:$D)</f>
        <v>2.7200000000000002E-3</v>
      </c>
      <c r="E9" s="51">
        <f>AVERAGE(D9:D14)</f>
        <v>2.2483333333333335E-3</v>
      </c>
    </row>
    <row r="10" spans="1:5" ht="14.45" customHeight="1">
      <c r="A10" s="3">
        <v>8</v>
      </c>
      <c r="B10" s="1" t="s">
        <v>106</v>
      </c>
      <c r="C10" s="3" t="s">
        <v>34</v>
      </c>
      <c r="D10" s="18">
        <f>_xlfn.XLOOKUP(B10, '[2]Bad Data'!$B:$B, '[2]Bad Data'!$D:$D)</f>
        <v>1.67E-3</v>
      </c>
      <c r="E10" s="52"/>
    </row>
    <row r="11" spans="1:5" ht="14.45" customHeight="1">
      <c r="A11" s="3">
        <v>9</v>
      </c>
      <c r="B11" s="1" t="s">
        <v>107</v>
      </c>
      <c r="C11" s="3" t="s">
        <v>34</v>
      </c>
      <c r="D11" s="18">
        <f>_xlfn.XLOOKUP(B11, '[2]Bad Data'!$B:$B, '[2]Bad Data'!$D:$D)</f>
        <v>1.2099999999999999E-3</v>
      </c>
      <c r="E11" s="52"/>
    </row>
    <row r="12" spans="1:5" ht="14.45" customHeight="1">
      <c r="A12" s="3">
        <v>10</v>
      </c>
      <c r="B12" s="1" t="s">
        <v>108</v>
      </c>
      <c r="C12" s="3" t="s">
        <v>34</v>
      </c>
      <c r="D12" s="18">
        <f>_xlfn.XLOOKUP(B12, '[2]Bad Data'!$B:$B, '[2]Bad Data'!$D:$D)</f>
        <v>2E-3</v>
      </c>
      <c r="E12" s="52"/>
    </row>
    <row r="13" spans="1:5" ht="14.45" customHeight="1">
      <c r="A13" s="3">
        <v>11</v>
      </c>
      <c r="B13" s="1" t="s">
        <v>109</v>
      </c>
      <c r="C13" s="3" t="s">
        <v>34</v>
      </c>
      <c r="D13" s="18">
        <f>_xlfn.XLOOKUP(B13, '[2]Bad Data'!$B:$B, '[2]Bad Data'!$D:$D)</f>
        <v>2.9099999999999998E-3</v>
      </c>
      <c r="E13" s="52"/>
    </row>
    <row r="14" spans="1:5" ht="14.45" customHeight="1">
      <c r="A14" s="3">
        <v>12</v>
      </c>
      <c r="B14" s="1" t="s">
        <v>110</v>
      </c>
      <c r="C14" s="3" t="s">
        <v>34</v>
      </c>
      <c r="D14" s="18">
        <f>_xlfn.XLOOKUP(B14, '[2]Bad Data'!$B:$B, '[2]Bad Data'!$D:$D)</f>
        <v>2.98E-3</v>
      </c>
      <c r="E14" s="53"/>
    </row>
    <row r="15" spans="1:5" ht="14.45" customHeight="1">
      <c r="A15" s="3">
        <v>13</v>
      </c>
      <c r="B15" s="1" t="s">
        <v>111</v>
      </c>
      <c r="C15" s="3" t="s">
        <v>37</v>
      </c>
      <c r="D15" s="18">
        <f>_xlfn.XLOOKUP(B15, '[2]Bad Data'!$B:$B, '[2]Bad Data'!$D:$D)</f>
        <v>8.0000000000000007E-5</v>
      </c>
      <c r="E15" s="51">
        <f>AVERAGE(D15:D20)</f>
        <v>1.8766666666666665E-3</v>
      </c>
    </row>
    <row r="16" spans="1:5" ht="14.45" customHeight="1">
      <c r="A16" s="3">
        <v>14</v>
      </c>
      <c r="B16" s="1" t="s">
        <v>112</v>
      </c>
      <c r="C16" s="3" t="s">
        <v>37</v>
      </c>
      <c r="D16" s="18">
        <f>_xlfn.XLOOKUP(B16, '[2]Bad Data'!$B:$B, '[2]Bad Data'!$D:$D)</f>
        <v>3.5200000000000001E-3</v>
      </c>
      <c r="E16" s="52"/>
    </row>
    <row r="17" spans="1:5" ht="14.45" customHeight="1">
      <c r="A17" s="3">
        <v>15</v>
      </c>
      <c r="B17" s="1" t="s">
        <v>113</v>
      </c>
      <c r="C17" s="3" t="s">
        <v>37</v>
      </c>
      <c r="D17" s="18">
        <f>_xlfn.XLOOKUP(B17, '[2]Bad Data'!$B:$B, '[2]Bad Data'!$D:$D)</f>
        <v>1.6100000000000001E-3</v>
      </c>
      <c r="E17" s="52"/>
    </row>
    <row r="18" spans="1:5" ht="14.45" customHeight="1">
      <c r="A18" s="3">
        <v>16</v>
      </c>
      <c r="B18" s="1" t="s">
        <v>114</v>
      </c>
      <c r="C18" s="3" t="s">
        <v>37</v>
      </c>
      <c r="D18" s="18">
        <f>_xlfn.XLOOKUP(B18, '[2]Bad Data'!$B:$B, '[2]Bad Data'!$D:$D)</f>
        <v>1.65E-3</v>
      </c>
      <c r="E18" s="52"/>
    </row>
    <row r="19" spans="1:5" ht="14.45" customHeight="1">
      <c r="A19" s="3">
        <v>17</v>
      </c>
      <c r="B19" s="1" t="s">
        <v>115</v>
      </c>
      <c r="C19" s="3" t="s">
        <v>37</v>
      </c>
      <c r="D19" s="18">
        <f>_xlfn.XLOOKUP(B19, '[2]Bad Data'!$B:$B, '[2]Bad Data'!$D:$D)</f>
        <v>2.5500000000000002E-3</v>
      </c>
      <c r="E19" s="52"/>
    </row>
    <row r="20" spans="1:5" ht="14.45" customHeight="1">
      <c r="A20" s="3">
        <v>18</v>
      </c>
      <c r="B20" s="1" t="s">
        <v>116</v>
      </c>
      <c r="C20" s="3" t="s">
        <v>37</v>
      </c>
      <c r="D20" s="18">
        <f>_xlfn.XLOOKUP(B20, '[2]Bad Data'!$B:$B, '[2]Bad Data'!$D:$D)</f>
        <v>1.8500000000000001E-3</v>
      </c>
      <c r="E20" s="53"/>
    </row>
    <row r="21" spans="1:5" ht="14.45" customHeight="1">
      <c r="A21" s="3">
        <v>19</v>
      </c>
      <c r="B21" s="1" t="s">
        <v>117</v>
      </c>
      <c r="C21" s="3" t="s">
        <v>24</v>
      </c>
      <c r="D21" s="18">
        <f>_xlfn.XLOOKUP(B21, '[2]Bad Data'!$B:$B, '[2]Bad Data'!$D:$D)</f>
        <v>4.6999999999999999E-4</v>
      </c>
      <c r="E21" s="51">
        <f>AVERAGE(D21:D26)</f>
        <v>1.2700000000000001E-3</v>
      </c>
    </row>
    <row r="22" spans="1:5" ht="14.45" customHeight="1">
      <c r="A22" s="3">
        <v>20</v>
      </c>
      <c r="B22" s="1" t="s">
        <v>118</v>
      </c>
      <c r="C22" s="3" t="s">
        <v>24</v>
      </c>
      <c r="D22" s="18">
        <f>_xlfn.XLOOKUP(B22, '[2]Bad Data'!$B:$B, '[2]Bad Data'!$D:$D)</f>
        <v>1.07E-3</v>
      </c>
      <c r="E22" s="52"/>
    </row>
    <row r="23" spans="1:5" ht="14.45" customHeight="1">
      <c r="A23" s="3">
        <v>21</v>
      </c>
      <c r="B23" s="1" t="s">
        <v>119</v>
      </c>
      <c r="C23" s="3" t="s">
        <v>24</v>
      </c>
      <c r="D23" s="18">
        <f>_xlfn.XLOOKUP(B23, '[2]Bad Data'!$B:$B, '[2]Bad Data'!$D:$D)</f>
        <v>1.4499999999999999E-3</v>
      </c>
      <c r="E23" s="52"/>
    </row>
    <row r="24" spans="1:5" ht="14.45" customHeight="1">
      <c r="A24" s="3">
        <v>22</v>
      </c>
      <c r="B24" s="1" t="s">
        <v>120</v>
      </c>
      <c r="C24" s="3" t="s">
        <v>24</v>
      </c>
      <c r="D24" s="18">
        <f>_xlfn.XLOOKUP(B24, '[2]Bad Data'!$B:$B, '[2]Bad Data'!$D:$D)</f>
        <v>3.6000000000000002E-4</v>
      </c>
      <c r="E24" s="52"/>
    </row>
    <row r="25" spans="1:5" ht="14.45" customHeight="1">
      <c r="A25" s="3">
        <v>23</v>
      </c>
      <c r="B25" s="2" t="s">
        <v>121</v>
      </c>
      <c r="C25" s="3" t="s">
        <v>24</v>
      </c>
      <c r="D25" s="18">
        <f>_xlfn.XLOOKUP(B25, '[2]Bad Data'!$B:$B, '[2]Bad Data'!$D:$D)</f>
        <v>1.9400000000000001E-3</v>
      </c>
      <c r="E25" s="52"/>
    </row>
    <row r="26" spans="1:5" ht="14.45" customHeight="1">
      <c r="A26" s="3">
        <v>24</v>
      </c>
      <c r="B26" s="1" t="s">
        <v>122</v>
      </c>
      <c r="C26" s="3" t="s">
        <v>24</v>
      </c>
      <c r="D26" s="18">
        <f>_xlfn.XLOOKUP(B26, '[2]Bad Data'!$B:$B, '[2]Bad Data'!$D:$D)</f>
        <v>2.33E-3</v>
      </c>
      <c r="E26" s="53"/>
    </row>
  </sheetData>
  <autoFilter ref="B2:D2" xr:uid="{9E662621-183F-4D0C-8FF4-759C3CE58295}">
    <sortState xmlns:xlrd2="http://schemas.microsoft.com/office/spreadsheetml/2017/richdata2" ref="B3:D26">
      <sortCondition ref="C2"/>
    </sortState>
  </autoFilter>
  <mergeCells count="5">
    <mergeCell ref="D1:E1"/>
    <mergeCell ref="E3:E8"/>
    <mergeCell ref="E9:E14"/>
    <mergeCell ref="E15:E20"/>
    <mergeCell ref="E21:E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26"/>
  <sheetViews>
    <sheetView topLeftCell="A2" workbookViewId="0">
      <selection activeCell="D3" sqref="D3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5.7109375" bestFit="1" customWidth="1"/>
  </cols>
  <sheetData>
    <row r="1" spans="1:5">
      <c r="D1" s="49">
        <v>46277</v>
      </c>
      <c r="E1" s="50"/>
    </row>
    <row r="2" spans="1:5">
      <c r="A2" s="4" t="s">
        <v>94</v>
      </c>
      <c r="B2" s="4" t="s">
        <v>95</v>
      </c>
      <c r="C2" s="4" t="s">
        <v>96</v>
      </c>
      <c r="D2" s="16" t="s">
        <v>124</v>
      </c>
      <c r="E2" s="16" t="s">
        <v>98</v>
      </c>
    </row>
    <row r="3" spans="1:5">
      <c r="A3" s="3">
        <v>1</v>
      </c>
      <c r="B3" s="1" t="s">
        <v>99</v>
      </c>
      <c r="C3" s="3" t="s">
        <v>31</v>
      </c>
      <c r="D3" s="18">
        <f>_xlfn.XLOOKUP(B3,'[2]Pengkinian Data'!$B:$B,'[2]Pengkinian Data'!$E:$E)</f>
        <v>1</v>
      </c>
      <c r="E3" s="51">
        <f>AVERAGE(D3:D8)</f>
        <v>0.99780000000000013</v>
      </c>
    </row>
    <row r="4" spans="1:5">
      <c r="A4" s="3">
        <v>2</v>
      </c>
      <c r="B4" s="1" t="s">
        <v>100</v>
      </c>
      <c r="C4" s="3" t="s">
        <v>31</v>
      </c>
      <c r="D4" s="18">
        <f>_xlfn.XLOOKUP(B4,'[2]Pengkinian Data'!$B:$B,'[2]Pengkinian Data'!$E:$E)</f>
        <v>1</v>
      </c>
      <c r="E4" s="54"/>
    </row>
    <row r="5" spans="1:5">
      <c r="A5" s="3">
        <v>3</v>
      </c>
      <c r="B5" s="1" t="s">
        <v>101</v>
      </c>
      <c r="C5" s="3" t="s">
        <v>31</v>
      </c>
      <c r="D5" s="18">
        <f>_xlfn.XLOOKUP(B5,'[2]Pengkinian Data'!$B:$B,'[2]Pengkinian Data'!$E:$E)</f>
        <v>0.98680000000000001</v>
      </c>
      <c r="E5" s="54"/>
    </row>
    <row r="6" spans="1:5">
      <c r="A6" s="3">
        <v>4</v>
      </c>
      <c r="B6" s="1" t="s">
        <v>102</v>
      </c>
      <c r="C6" s="3" t="s">
        <v>31</v>
      </c>
      <c r="D6" s="18">
        <f>_xlfn.XLOOKUP(B6,'[2]Pengkinian Data'!$B:$B,'[2]Pengkinian Data'!$E:$E)</f>
        <v>1</v>
      </c>
      <c r="E6" s="54"/>
    </row>
    <row r="7" spans="1:5">
      <c r="A7" s="3">
        <v>5</v>
      </c>
      <c r="B7" s="1" t="s">
        <v>103</v>
      </c>
      <c r="C7" s="3" t="s">
        <v>31</v>
      </c>
      <c r="D7" s="18">
        <f>_xlfn.XLOOKUP(B7,'[2]Pengkinian Data'!$B:$B,'[2]Pengkinian Data'!$E:$E)</f>
        <v>1</v>
      </c>
      <c r="E7" s="54"/>
    </row>
    <row r="8" spans="1:5">
      <c r="A8" s="3">
        <v>6</v>
      </c>
      <c r="B8" s="1" t="s">
        <v>104</v>
      </c>
      <c r="C8" s="3" t="s">
        <v>31</v>
      </c>
      <c r="D8" s="18">
        <f>_xlfn.XLOOKUP(B8,'[2]Pengkinian Data'!$B:$B,'[2]Pengkinian Data'!$E:$E)</f>
        <v>1</v>
      </c>
      <c r="E8" s="55"/>
    </row>
    <row r="9" spans="1:5">
      <c r="A9" s="3">
        <v>7</v>
      </c>
      <c r="B9" s="1" t="s">
        <v>105</v>
      </c>
      <c r="C9" s="3" t="s">
        <v>34</v>
      </c>
      <c r="D9" s="18">
        <f>_xlfn.XLOOKUP(B9,'[2]Pengkinian Data'!$B:$B,'[2]Pengkinian Data'!$E:$E)</f>
        <v>0.99850000000000005</v>
      </c>
      <c r="E9" s="51">
        <f>AVERAGE(D9:D14)</f>
        <v>0.99795</v>
      </c>
    </row>
    <row r="10" spans="1:5">
      <c r="A10" s="3">
        <v>8</v>
      </c>
      <c r="B10" s="1" t="s">
        <v>106</v>
      </c>
      <c r="C10" s="3" t="s">
        <v>34</v>
      </c>
      <c r="D10" s="18">
        <f>_xlfn.XLOOKUP(B10,'[2]Pengkinian Data'!$B:$B,'[2]Pengkinian Data'!$E:$E)</f>
        <v>1</v>
      </c>
      <c r="E10" s="54"/>
    </row>
    <row r="11" spans="1:5">
      <c r="A11" s="3">
        <v>9</v>
      </c>
      <c r="B11" s="1" t="s">
        <v>107</v>
      </c>
      <c r="C11" s="3" t="s">
        <v>34</v>
      </c>
      <c r="D11" s="18">
        <f>_xlfn.XLOOKUP(B11,'[2]Pengkinian Data'!$B:$B,'[2]Pengkinian Data'!$E:$E)</f>
        <v>0.99980000000000002</v>
      </c>
      <c r="E11" s="54"/>
    </row>
    <row r="12" spans="1:5">
      <c r="A12" s="3">
        <v>10</v>
      </c>
      <c r="B12" s="1" t="s">
        <v>108</v>
      </c>
      <c r="C12" s="3" t="s">
        <v>34</v>
      </c>
      <c r="D12" s="18">
        <f>_xlfn.XLOOKUP(B12,'[2]Pengkinian Data'!$B:$B,'[2]Pengkinian Data'!$E:$E)</f>
        <v>1</v>
      </c>
      <c r="E12" s="54"/>
    </row>
    <row r="13" spans="1:5">
      <c r="A13" s="3">
        <v>11</v>
      </c>
      <c r="B13" s="1" t="s">
        <v>109</v>
      </c>
      <c r="C13" s="3" t="s">
        <v>34</v>
      </c>
      <c r="D13" s="18">
        <f>_xlfn.XLOOKUP(B13,'[2]Pengkinian Data'!$B:$B,'[2]Pengkinian Data'!$E:$E)</f>
        <v>0.99170000000000003</v>
      </c>
      <c r="E13" s="54"/>
    </row>
    <row r="14" spans="1:5">
      <c r="A14" s="3">
        <v>12</v>
      </c>
      <c r="B14" s="1" t="s">
        <v>110</v>
      </c>
      <c r="C14" s="3" t="s">
        <v>34</v>
      </c>
      <c r="D14" s="18">
        <f>_xlfn.XLOOKUP(B14,'[2]Pengkinian Data'!$B:$B,'[2]Pengkinian Data'!$E:$E)</f>
        <v>0.99770000000000003</v>
      </c>
      <c r="E14" s="55"/>
    </row>
    <row r="15" spans="1:5">
      <c r="A15" s="3">
        <v>13</v>
      </c>
      <c r="B15" s="1" t="s">
        <v>111</v>
      </c>
      <c r="C15" s="3" t="s">
        <v>37</v>
      </c>
      <c r="D15" s="18">
        <f>_xlfn.XLOOKUP(B15,'[2]Pengkinian Data'!$B:$B,'[2]Pengkinian Data'!$E:$E)</f>
        <v>1</v>
      </c>
      <c r="E15" s="51">
        <f>AVERAGE(D15:D20)</f>
        <v>0.99891666666666667</v>
      </c>
    </row>
    <row r="16" spans="1:5">
      <c r="A16" s="3">
        <v>14</v>
      </c>
      <c r="B16" s="1" t="s">
        <v>112</v>
      </c>
      <c r="C16" s="3" t="s">
        <v>37</v>
      </c>
      <c r="D16" s="18">
        <f>_xlfn.XLOOKUP(B16,'[2]Pengkinian Data'!$B:$B,'[2]Pengkinian Data'!$E:$E)</f>
        <v>0.99350000000000005</v>
      </c>
      <c r="E16" s="54"/>
    </row>
    <row r="17" spans="1:5">
      <c r="A17" s="3">
        <v>15</v>
      </c>
      <c r="B17" s="1" t="s">
        <v>113</v>
      </c>
      <c r="C17" s="3" t="s">
        <v>37</v>
      </c>
      <c r="D17" s="18">
        <f>_xlfn.XLOOKUP(B17,'[2]Pengkinian Data'!$B:$B,'[2]Pengkinian Data'!$E:$E)</f>
        <v>1</v>
      </c>
      <c r="E17" s="54"/>
    </row>
    <row r="18" spans="1:5">
      <c r="A18" s="3">
        <v>16</v>
      </c>
      <c r="B18" s="1" t="s">
        <v>114</v>
      </c>
      <c r="C18" s="3" t="s">
        <v>37</v>
      </c>
      <c r="D18" s="18">
        <f>_xlfn.XLOOKUP(B18,'[2]Pengkinian Data'!$B:$B,'[2]Pengkinian Data'!$E:$E)</f>
        <v>1</v>
      </c>
      <c r="E18" s="54"/>
    </row>
    <row r="19" spans="1:5">
      <c r="A19" s="3">
        <v>17</v>
      </c>
      <c r="B19" s="1" t="s">
        <v>115</v>
      </c>
      <c r="C19" s="3" t="s">
        <v>37</v>
      </c>
      <c r="D19" s="18">
        <f>_xlfn.XLOOKUP(B19,'[2]Pengkinian Data'!$B:$B,'[2]Pengkinian Data'!$E:$E)</f>
        <v>1</v>
      </c>
      <c r="E19" s="54"/>
    </row>
    <row r="20" spans="1:5">
      <c r="A20" s="3">
        <v>18</v>
      </c>
      <c r="B20" s="1" t="s">
        <v>116</v>
      </c>
      <c r="C20" s="3" t="s">
        <v>37</v>
      </c>
      <c r="D20" s="18">
        <f>_xlfn.XLOOKUP(B20,'[2]Pengkinian Data'!$B:$B,'[2]Pengkinian Data'!$E:$E)</f>
        <v>1</v>
      </c>
      <c r="E20" s="55"/>
    </row>
    <row r="21" spans="1:5">
      <c r="A21" s="3">
        <v>19</v>
      </c>
      <c r="B21" s="1" t="s">
        <v>117</v>
      </c>
      <c r="C21" s="3" t="s">
        <v>24</v>
      </c>
      <c r="D21" s="18">
        <f>_xlfn.XLOOKUP(B21,'[2]Pengkinian Data'!$B:$B,'[2]Pengkinian Data'!$E:$E)</f>
        <v>1</v>
      </c>
      <c r="E21" s="51">
        <f>AVERAGE(D21:D26)</f>
        <v>0.9996666666666667</v>
      </c>
    </row>
    <row r="22" spans="1:5">
      <c r="A22" s="3">
        <v>20</v>
      </c>
      <c r="B22" s="1" t="s">
        <v>118</v>
      </c>
      <c r="C22" s="3" t="s">
        <v>24</v>
      </c>
      <c r="D22" s="18">
        <f>_xlfn.XLOOKUP(B22,'[2]Pengkinian Data'!$B:$B,'[2]Pengkinian Data'!$E:$E)</f>
        <v>0.99950000000000006</v>
      </c>
      <c r="E22" s="54"/>
    </row>
    <row r="23" spans="1:5">
      <c r="A23" s="3">
        <v>21</v>
      </c>
      <c r="B23" s="1" t="s">
        <v>119</v>
      </c>
      <c r="C23" s="3" t="s">
        <v>24</v>
      </c>
      <c r="D23" s="18">
        <f>_xlfn.XLOOKUP(B23,'[2]Pengkinian Data'!$B:$B,'[2]Pengkinian Data'!$E:$E)</f>
        <v>1</v>
      </c>
      <c r="E23" s="54"/>
    </row>
    <row r="24" spans="1:5">
      <c r="A24" s="3">
        <v>22</v>
      </c>
      <c r="B24" s="1" t="s">
        <v>120</v>
      </c>
      <c r="C24" s="3" t="s">
        <v>24</v>
      </c>
      <c r="D24" s="18">
        <f>_xlfn.XLOOKUP(B24,'[2]Pengkinian Data'!$B:$B,'[2]Pengkinian Data'!$E:$E)</f>
        <v>1</v>
      </c>
      <c r="E24" s="54"/>
    </row>
    <row r="25" spans="1:5">
      <c r="A25" s="3">
        <v>23</v>
      </c>
      <c r="B25" s="2" t="s">
        <v>121</v>
      </c>
      <c r="C25" s="3" t="s">
        <v>24</v>
      </c>
      <c r="D25" s="18">
        <f>_xlfn.XLOOKUP(B25,'[2]Pengkinian Data'!$B:$B,'[2]Pengkinian Data'!$E:$E)</f>
        <v>0.99980000000000002</v>
      </c>
      <c r="E25" s="54"/>
    </row>
    <row r="26" spans="1:5">
      <c r="A26" s="3">
        <v>24</v>
      </c>
      <c r="B26" s="1" t="s">
        <v>122</v>
      </c>
      <c r="C26" s="3" t="s">
        <v>24</v>
      </c>
      <c r="D26" s="18">
        <f>_xlfn.XLOOKUP(B26,'[2]Pengkinian Data'!$B:$B,'[2]Pengkinian Data'!$E:$E)</f>
        <v>0.99870000000000003</v>
      </c>
      <c r="E26" s="55"/>
    </row>
  </sheetData>
  <autoFilter ref="B2:D2" xr:uid="{A94FBD84-5D1A-4337-99EB-B0C267B6544E}">
    <sortState xmlns:xlrd2="http://schemas.microsoft.com/office/spreadsheetml/2017/richdata2" ref="B3:D26">
      <sortCondition ref="C2"/>
    </sortState>
  </autoFilter>
  <mergeCells count="5">
    <mergeCell ref="D1:E1"/>
    <mergeCell ref="E3:E8"/>
    <mergeCell ref="E9:E14"/>
    <mergeCell ref="E15:E20"/>
    <mergeCell ref="E21:E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94</v>
      </c>
      <c r="B1" s="4" t="s">
        <v>95</v>
      </c>
      <c r="C1" s="4" t="s">
        <v>96</v>
      </c>
      <c r="D1" s="4" t="s">
        <v>125</v>
      </c>
      <c r="E1" s="4" t="s">
        <v>126</v>
      </c>
      <c r="F1" s="4" t="s">
        <v>127</v>
      </c>
      <c r="G1" s="4" t="s">
        <v>128</v>
      </c>
      <c r="H1" s="4" t="s">
        <v>129</v>
      </c>
      <c r="I1" s="4" t="s">
        <v>130</v>
      </c>
    </row>
    <row r="2" spans="1:9">
      <c r="A2" s="3">
        <v>1</v>
      </c>
      <c r="B2" s="1" t="s">
        <v>117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118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99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100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101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111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102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112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105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103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119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113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106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120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121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107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114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115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108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104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109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122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110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116</v>
      </c>
      <c r="C25" s="3"/>
      <c r="D25" s="3"/>
      <c r="E25" s="3"/>
      <c r="F25" s="3"/>
      <c r="G25" s="3"/>
      <c r="H25" s="3"/>
      <c r="I25" s="3"/>
    </row>
    <row r="27" spans="1:9">
      <c r="B27" s="5" t="s">
        <v>131</v>
      </c>
    </row>
    <row r="28" spans="1:9">
      <c r="B28" s="5" t="s">
        <v>132</v>
      </c>
    </row>
    <row r="29" spans="1:9">
      <c r="B29" s="6" t="s">
        <v>133</v>
      </c>
    </row>
    <row r="31" spans="1:9">
      <c r="B31" t="s">
        <v>134</v>
      </c>
    </row>
    <row r="32" spans="1:9">
      <c r="B32" t="s">
        <v>135</v>
      </c>
    </row>
    <row r="33" spans="2:2">
      <c r="B33" t="s">
        <v>136</v>
      </c>
    </row>
    <row r="34" spans="2:2">
      <c r="B34" t="s">
        <v>137</v>
      </c>
    </row>
    <row r="35" spans="2:2">
      <c r="B35" t="s">
        <v>138</v>
      </c>
    </row>
    <row r="36" spans="2:2">
      <c r="B36" t="s">
        <v>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39"/>
  <sheetViews>
    <sheetView workbookViewId="0">
      <selection activeCell="K21" sqref="K21"/>
    </sheetView>
  </sheetViews>
  <sheetFormatPr defaultRowHeight="14.45"/>
  <cols>
    <col min="1" max="1" width="3.5703125" bestFit="1" customWidth="1"/>
    <col min="2" max="2" width="24.140625" bestFit="1" customWidth="1"/>
    <col min="3" max="3" width="23.5703125" customWidth="1"/>
    <col min="4" max="4" width="19.42578125" bestFit="1" customWidth="1"/>
    <col min="5" max="5" width="19.42578125" customWidth="1"/>
    <col min="6" max="6" width="19.140625" bestFit="1" customWidth="1"/>
  </cols>
  <sheetData>
    <row r="1" spans="1:6" s="7" customFormat="1">
      <c r="A1" s="56" t="s">
        <v>94</v>
      </c>
      <c r="B1" s="56" t="s">
        <v>95</v>
      </c>
      <c r="C1" s="56" t="s">
        <v>96</v>
      </c>
      <c r="D1" s="56" t="s">
        <v>140</v>
      </c>
      <c r="E1" s="56" t="s">
        <v>127</v>
      </c>
      <c r="F1" s="56" t="s">
        <v>130</v>
      </c>
    </row>
    <row r="2" spans="1:6" s="7" customFormat="1">
      <c r="A2" s="57"/>
      <c r="B2" s="57"/>
      <c r="C2" s="57"/>
      <c r="D2" s="57"/>
      <c r="E2" s="57"/>
      <c r="F2" s="57"/>
    </row>
    <row r="3" spans="1:6">
      <c r="A3" s="3">
        <v>1</v>
      </c>
      <c r="B3" s="1" t="s">
        <v>141</v>
      </c>
      <c r="C3" s="3" t="s">
        <v>31</v>
      </c>
      <c r="D3" s="3"/>
      <c r="E3" s="3"/>
      <c r="F3" s="3"/>
    </row>
    <row r="4" spans="1:6">
      <c r="A4" s="3">
        <v>2</v>
      </c>
      <c r="B4" s="1" t="s">
        <v>142</v>
      </c>
      <c r="C4" s="3" t="s">
        <v>24</v>
      </c>
      <c r="D4" s="3"/>
      <c r="E4" s="3"/>
      <c r="F4" s="3"/>
    </row>
    <row r="5" spans="1:6">
      <c r="A5" s="3">
        <v>3</v>
      </c>
      <c r="B5" s="1" t="s">
        <v>143</v>
      </c>
      <c r="C5" s="3" t="s">
        <v>34</v>
      </c>
      <c r="D5" s="3"/>
      <c r="E5" s="3"/>
      <c r="F5" s="3"/>
    </row>
    <row r="6" spans="1:6">
      <c r="A6" s="3">
        <v>4</v>
      </c>
      <c r="B6" s="1" t="s">
        <v>144</v>
      </c>
      <c r="C6" s="3" t="s">
        <v>34</v>
      </c>
      <c r="D6" s="3"/>
      <c r="E6" s="3"/>
      <c r="F6" s="3"/>
    </row>
    <row r="7" spans="1:6">
      <c r="A7" s="3"/>
      <c r="B7" s="1"/>
      <c r="C7" s="3"/>
      <c r="D7" s="3"/>
      <c r="E7" s="3"/>
      <c r="F7" s="3"/>
    </row>
    <row r="8" spans="1:6">
      <c r="A8" s="3"/>
      <c r="B8" s="1"/>
      <c r="C8" s="3"/>
      <c r="D8" s="3"/>
      <c r="E8" s="3"/>
      <c r="F8" s="3"/>
    </row>
    <row r="9" spans="1:6">
      <c r="A9" s="3"/>
      <c r="B9" s="1"/>
      <c r="C9" s="3"/>
      <c r="D9" s="3"/>
      <c r="E9" s="3"/>
      <c r="F9" s="3"/>
    </row>
    <row r="10" spans="1:6">
      <c r="A10" s="3"/>
      <c r="B10" s="1"/>
      <c r="C10" s="3"/>
      <c r="D10" s="3"/>
      <c r="E10" s="3"/>
      <c r="F10" s="3"/>
    </row>
    <row r="11" spans="1:6">
      <c r="A11" s="3"/>
      <c r="B11" s="1"/>
      <c r="C11" s="3"/>
      <c r="D11" s="3"/>
      <c r="E11" s="3"/>
      <c r="F11" s="3"/>
    </row>
    <row r="12" spans="1:6">
      <c r="A12" s="3"/>
      <c r="B12" s="1"/>
      <c r="C12" s="3"/>
      <c r="D12" s="3"/>
      <c r="E12" s="3"/>
      <c r="F12" s="3"/>
    </row>
    <row r="13" spans="1:6">
      <c r="A13" s="3"/>
      <c r="B13" s="1"/>
      <c r="C13" s="3"/>
      <c r="D13" s="3"/>
      <c r="E13" s="3"/>
      <c r="F13" s="3"/>
    </row>
    <row r="14" spans="1:6">
      <c r="A14" s="3"/>
      <c r="B14" s="1"/>
      <c r="C14" s="3"/>
      <c r="D14" s="3"/>
      <c r="E14" s="3"/>
      <c r="F14" s="3"/>
    </row>
    <row r="15" spans="1:6">
      <c r="A15" s="3"/>
      <c r="B15" s="1"/>
      <c r="C15" s="3"/>
      <c r="D15" s="3"/>
      <c r="E15" s="3"/>
      <c r="F15" s="3"/>
    </row>
    <row r="16" spans="1:6">
      <c r="A16" s="3"/>
      <c r="B16" s="1"/>
      <c r="C16" s="3"/>
      <c r="D16" s="3"/>
      <c r="E16" s="3"/>
      <c r="F16" s="3"/>
    </row>
    <row r="17" spans="1:6">
      <c r="A17" s="3"/>
      <c r="B17" s="2"/>
      <c r="C17" s="3"/>
      <c r="D17" s="3"/>
      <c r="E17" s="3"/>
      <c r="F17" s="3"/>
    </row>
    <row r="18" spans="1:6">
      <c r="A18" s="3"/>
      <c r="B18" s="1"/>
      <c r="C18" s="3"/>
      <c r="D18" s="3"/>
      <c r="E18" s="3"/>
      <c r="F18" s="3"/>
    </row>
    <row r="19" spans="1:6">
      <c r="A19" s="3"/>
      <c r="B19" s="1"/>
      <c r="C19" s="3"/>
      <c r="D19" s="3"/>
      <c r="E19" s="3"/>
      <c r="F19" s="3"/>
    </row>
    <row r="20" spans="1:6">
      <c r="A20" s="3"/>
      <c r="B20" s="1"/>
      <c r="C20" s="3"/>
      <c r="D20" s="3"/>
      <c r="E20" s="3"/>
      <c r="F20" s="3"/>
    </row>
    <row r="21" spans="1:6">
      <c r="A21" s="3"/>
      <c r="B21" s="1"/>
      <c r="C21" s="3"/>
      <c r="D21" s="3"/>
      <c r="E21" s="3"/>
      <c r="F21" s="3"/>
    </row>
    <row r="22" spans="1:6">
      <c r="A22" s="3"/>
      <c r="B22" s="1"/>
      <c r="C22" s="3"/>
      <c r="D22" s="3"/>
      <c r="E22" s="3"/>
      <c r="F22" s="3"/>
    </row>
    <row r="23" spans="1:6">
      <c r="A23" s="3"/>
      <c r="B23" s="1"/>
      <c r="C23" s="3"/>
      <c r="D23" s="3"/>
      <c r="E23" s="3"/>
      <c r="F23" s="3"/>
    </row>
    <row r="24" spans="1:6">
      <c r="A24" s="3"/>
      <c r="B24" s="1"/>
      <c r="C24" s="3"/>
      <c r="D24" s="3"/>
      <c r="E24" s="3"/>
      <c r="F24" s="3"/>
    </row>
    <row r="25" spans="1:6">
      <c r="A25" s="3"/>
      <c r="B25" s="1"/>
      <c r="C25" s="3"/>
      <c r="D25" s="3"/>
      <c r="E25" s="3"/>
      <c r="F25" s="3"/>
    </row>
    <row r="26" spans="1:6">
      <c r="A26" s="3"/>
      <c r="B26" s="1"/>
      <c r="C26" s="3"/>
      <c r="D26" s="3"/>
      <c r="E26" s="3"/>
      <c r="F26" s="3"/>
    </row>
    <row r="29" spans="1:6">
      <c r="B29" s="5" t="s">
        <v>131</v>
      </c>
    </row>
    <row r="30" spans="1:6">
      <c r="B30" s="5" t="s">
        <v>132</v>
      </c>
    </row>
    <row r="31" spans="1:6">
      <c r="B31" s="6" t="s">
        <v>145</v>
      </c>
    </row>
    <row r="34" spans="2:2">
      <c r="B34" t="s">
        <v>134</v>
      </c>
    </row>
    <row r="35" spans="2:2">
      <c r="B35" t="s">
        <v>135</v>
      </c>
    </row>
    <row r="36" spans="2:2">
      <c r="B36" t="s">
        <v>136</v>
      </c>
    </row>
    <row r="37" spans="2:2">
      <c r="B37" t="s">
        <v>137</v>
      </c>
    </row>
    <row r="38" spans="2:2">
      <c r="B38" t="s">
        <v>146</v>
      </c>
    </row>
    <row r="39" spans="2:2">
      <c r="B39" t="s">
        <v>147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7B95-F124-4CE6-993C-88740F8340E7}">
  <dimension ref="A1:H25"/>
  <sheetViews>
    <sheetView workbookViewId="0">
      <selection activeCell="D17" sqref="D17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8">
      <c r="A1" s="15" t="s">
        <v>94</v>
      </c>
      <c r="B1" s="15" t="s">
        <v>95</v>
      </c>
      <c r="C1" s="15" t="s">
        <v>96</v>
      </c>
      <c r="D1" s="22" t="s">
        <v>148</v>
      </c>
      <c r="E1" s="22" t="s">
        <v>148</v>
      </c>
      <c r="F1" s="22" t="s">
        <v>149</v>
      </c>
    </row>
    <row r="2" spans="1:8" ht="15">
      <c r="A2" s="9">
        <v>3</v>
      </c>
      <c r="B2" s="17" t="s">
        <v>141</v>
      </c>
      <c r="C2" s="21" t="s">
        <v>31</v>
      </c>
      <c r="D2" s="26">
        <v>4.7298031434796144</v>
      </c>
      <c r="E2" s="58">
        <f>AVERAGE(D2:D7)</f>
        <v>8.0876157515475331</v>
      </c>
      <c r="F2" s="58" t="s">
        <v>150</v>
      </c>
      <c r="G2" s="23"/>
      <c r="H2" s="23"/>
    </row>
    <row r="3" spans="1:8" ht="15">
      <c r="A3" s="9">
        <v>4</v>
      </c>
      <c r="B3" s="17" t="s">
        <v>151</v>
      </c>
      <c r="C3" s="21" t="s">
        <v>31</v>
      </c>
      <c r="D3" s="26">
        <v>9.4057584173270445</v>
      </c>
      <c r="E3" s="59"/>
      <c r="F3" s="59"/>
      <c r="G3" s="23"/>
      <c r="H3" s="23"/>
    </row>
    <row r="4" spans="1:8" ht="15">
      <c r="A4" s="9">
        <v>5</v>
      </c>
      <c r="B4" s="17" t="s">
        <v>152</v>
      </c>
      <c r="C4" s="21" t="s">
        <v>31</v>
      </c>
      <c r="D4" s="26">
        <v>8.5113418244790804</v>
      </c>
      <c r="E4" s="59"/>
      <c r="F4" s="59"/>
      <c r="G4" s="23"/>
      <c r="H4" s="23"/>
    </row>
    <row r="5" spans="1:8" ht="15">
      <c r="A5" s="9">
        <v>7</v>
      </c>
      <c r="B5" s="17" t="s">
        <v>153</v>
      </c>
      <c r="C5" s="21" t="s">
        <v>31</v>
      </c>
      <c r="D5" s="26">
        <v>8.6743064633260722</v>
      </c>
      <c r="E5" s="59"/>
      <c r="F5" s="59"/>
      <c r="G5" s="23"/>
      <c r="H5" s="23"/>
    </row>
    <row r="6" spans="1:8" ht="15">
      <c r="A6" s="9">
        <v>10</v>
      </c>
      <c r="B6" s="17" t="s">
        <v>154</v>
      </c>
      <c r="C6" s="21" t="s">
        <v>31</v>
      </c>
      <c r="D6" s="26">
        <v>9.0327472926492547</v>
      </c>
      <c r="E6" s="59"/>
      <c r="F6" s="59"/>
      <c r="G6" s="23"/>
      <c r="H6" s="23"/>
    </row>
    <row r="7" spans="1:8" ht="15">
      <c r="A7" s="9">
        <v>20</v>
      </c>
      <c r="B7" s="17" t="s">
        <v>155</v>
      </c>
      <c r="C7" s="21" t="s">
        <v>31</v>
      </c>
      <c r="D7" s="26">
        <v>8.1717373680241323</v>
      </c>
      <c r="E7" s="60"/>
      <c r="F7" s="60"/>
      <c r="G7" s="23"/>
      <c r="H7" s="23"/>
    </row>
    <row r="8" spans="1:8" ht="15">
      <c r="A8" s="9">
        <v>9</v>
      </c>
      <c r="B8" s="17" t="s">
        <v>156</v>
      </c>
      <c r="C8" s="21" t="s">
        <v>34</v>
      </c>
      <c r="D8" s="26">
        <v>7.9012130407718644</v>
      </c>
      <c r="E8" s="58">
        <f>AVERAGE(D8:D13)</f>
        <v>8.0105960062087505</v>
      </c>
      <c r="F8" s="58" t="s">
        <v>150</v>
      </c>
      <c r="G8" s="23"/>
      <c r="H8" s="23"/>
    </row>
    <row r="9" spans="1:8" ht="15">
      <c r="A9" s="9">
        <v>13</v>
      </c>
      <c r="B9" s="17" t="s">
        <v>157</v>
      </c>
      <c r="C9" s="21" t="s">
        <v>34</v>
      </c>
      <c r="D9" s="26">
        <v>9.2604111502150701</v>
      </c>
      <c r="E9" s="59"/>
      <c r="F9" s="59"/>
      <c r="G9" s="23"/>
      <c r="H9" s="23"/>
    </row>
    <row r="10" spans="1:8" ht="15">
      <c r="A10" s="9">
        <v>16</v>
      </c>
      <c r="B10" s="17" t="s">
        <v>158</v>
      </c>
      <c r="C10" s="21" t="s">
        <v>34</v>
      </c>
      <c r="D10" s="26">
        <v>9.5691229540249143</v>
      </c>
      <c r="E10" s="59"/>
      <c r="F10" s="59"/>
      <c r="G10" s="23"/>
      <c r="H10" s="23"/>
    </row>
    <row r="11" spans="1:8" ht="15">
      <c r="A11" s="9">
        <v>19</v>
      </c>
      <c r="B11" s="17" t="s">
        <v>159</v>
      </c>
      <c r="C11" s="21" t="s">
        <v>34</v>
      </c>
      <c r="D11" s="26">
        <v>7.6803279146416408</v>
      </c>
      <c r="E11" s="59"/>
      <c r="F11" s="59"/>
      <c r="G11" s="23"/>
      <c r="H11" s="23"/>
    </row>
    <row r="12" spans="1:8" ht="15">
      <c r="A12" s="9">
        <v>21</v>
      </c>
      <c r="B12" s="17" t="s">
        <v>144</v>
      </c>
      <c r="C12" s="21" t="s">
        <v>34</v>
      </c>
      <c r="D12" s="26">
        <v>7.4302497067202937</v>
      </c>
      <c r="E12" s="59"/>
      <c r="F12" s="59"/>
      <c r="G12" s="23"/>
      <c r="H12" s="23"/>
    </row>
    <row r="13" spans="1:8" ht="15">
      <c r="A13" s="9">
        <v>23</v>
      </c>
      <c r="B13" s="17" t="s">
        <v>142</v>
      </c>
      <c r="C13" s="21" t="s">
        <v>34</v>
      </c>
      <c r="D13" s="26">
        <v>6.2222512708787212</v>
      </c>
      <c r="E13" s="60"/>
      <c r="F13" s="60"/>
      <c r="G13" s="23"/>
      <c r="H13" s="23"/>
    </row>
    <row r="14" spans="1:8" ht="15">
      <c r="A14" s="9">
        <v>6</v>
      </c>
      <c r="B14" s="17" t="s">
        <v>160</v>
      </c>
      <c r="C14" s="21" t="s">
        <v>37</v>
      </c>
      <c r="D14" s="26">
        <v>8.6008988324674593</v>
      </c>
      <c r="E14" s="58">
        <f>AVERAGE(D14:D19)</f>
        <v>9.1021211338286516</v>
      </c>
      <c r="F14" s="58" t="s">
        <v>161</v>
      </c>
      <c r="G14" s="23"/>
      <c r="H14" s="23"/>
    </row>
    <row r="15" spans="1:8" ht="15">
      <c r="A15" s="9">
        <v>8</v>
      </c>
      <c r="B15" s="17" t="s">
        <v>162</v>
      </c>
      <c r="C15" s="21" t="s">
        <v>37</v>
      </c>
      <c r="D15" s="26">
        <v>9.5682461873638349</v>
      </c>
      <c r="E15" s="59"/>
      <c r="F15" s="59"/>
      <c r="G15" s="23"/>
      <c r="H15" s="23"/>
    </row>
    <row r="16" spans="1:8" ht="15">
      <c r="A16" s="9">
        <v>12</v>
      </c>
      <c r="B16" s="17" t="s">
        <v>163</v>
      </c>
      <c r="C16" s="21" t="s">
        <v>37</v>
      </c>
      <c r="D16" s="26">
        <v>8.3892128931344629</v>
      </c>
      <c r="E16" s="59"/>
      <c r="F16" s="59"/>
      <c r="G16" s="23"/>
      <c r="H16" s="23"/>
    </row>
    <row r="17" spans="1:8" ht="15">
      <c r="A17" s="9">
        <v>17</v>
      </c>
      <c r="B17" s="17" t="s">
        <v>164</v>
      </c>
      <c r="C17" s="21" t="s">
        <v>37</v>
      </c>
      <c r="D17" s="26">
        <v>9.8958333333333321</v>
      </c>
      <c r="E17" s="59"/>
      <c r="F17" s="59"/>
      <c r="G17" s="23"/>
      <c r="H17" s="23"/>
    </row>
    <row r="18" spans="1:8" ht="15">
      <c r="A18" s="9">
        <v>18</v>
      </c>
      <c r="B18" s="17" t="s">
        <v>165</v>
      </c>
      <c r="C18" s="21" t="s">
        <v>37</v>
      </c>
      <c r="D18" s="26">
        <v>8.592681135132116</v>
      </c>
      <c r="E18" s="59"/>
      <c r="F18" s="59"/>
      <c r="G18" s="23"/>
      <c r="H18" s="23"/>
    </row>
    <row r="19" spans="1:8" ht="15">
      <c r="A19" s="9">
        <v>24</v>
      </c>
      <c r="B19" s="17" t="s">
        <v>166</v>
      </c>
      <c r="C19" s="21" t="s">
        <v>37</v>
      </c>
      <c r="D19" s="26">
        <v>9.5658544215406973</v>
      </c>
      <c r="E19" s="60"/>
      <c r="F19" s="60"/>
      <c r="G19" s="23"/>
      <c r="H19" s="23"/>
    </row>
    <row r="20" spans="1:8" ht="15">
      <c r="A20" s="9">
        <v>1</v>
      </c>
      <c r="B20" s="17" t="s">
        <v>167</v>
      </c>
      <c r="C20" s="21" t="s">
        <v>24</v>
      </c>
      <c r="D20" s="26">
        <v>8.5187190659739667</v>
      </c>
      <c r="E20" s="58">
        <f>AVERAGE(D20:D25)</f>
        <v>8.3476712810005296</v>
      </c>
      <c r="F20" s="58" t="s">
        <v>150</v>
      </c>
      <c r="G20" s="23"/>
      <c r="H20" s="23"/>
    </row>
    <row r="21" spans="1:8" ht="15">
      <c r="A21" s="9">
        <v>2</v>
      </c>
      <c r="B21" s="17" t="s">
        <v>168</v>
      </c>
      <c r="C21" s="21" t="s">
        <v>24</v>
      </c>
      <c r="D21" s="26">
        <v>9.3454885201944009</v>
      </c>
      <c r="E21" s="59"/>
      <c r="F21" s="59"/>
      <c r="G21" s="23"/>
      <c r="H21" s="23"/>
    </row>
    <row r="22" spans="1:8" ht="15">
      <c r="A22" s="9">
        <v>11</v>
      </c>
      <c r="B22" s="17" t="s">
        <v>169</v>
      </c>
      <c r="C22" s="21" t="s">
        <v>24</v>
      </c>
      <c r="D22" s="26">
        <v>9.7069689243218651</v>
      </c>
      <c r="E22" s="59"/>
      <c r="F22" s="59"/>
      <c r="G22" s="23"/>
      <c r="H22" s="23"/>
    </row>
    <row r="23" spans="1:8" ht="15">
      <c r="A23" s="9">
        <v>14</v>
      </c>
      <c r="B23" s="17" t="s">
        <v>170</v>
      </c>
      <c r="C23" s="21" t="s">
        <v>24</v>
      </c>
      <c r="D23" s="26">
        <v>6.4145677117000641</v>
      </c>
      <c r="E23" s="59"/>
      <c r="F23" s="59"/>
      <c r="G23" s="23"/>
      <c r="H23" s="23"/>
    </row>
    <row r="24" spans="1:8" ht="15">
      <c r="A24" s="9">
        <v>15</v>
      </c>
      <c r="B24" s="19" t="s">
        <v>171</v>
      </c>
      <c r="C24" s="21" t="s">
        <v>24</v>
      </c>
      <c r="D24" s="26">
        <v>7.1794809547750731</v>
      </c>
      <c r="E24" s="59"/>
      <c r="F24" s="59"/>
      <c r="G24" s="23"/>
      <c r="H24" s="23"/>
    </row>
    <row r="25" spans="1:8" ht="15">
      <c r="A25" s="9">
        <v>22</v>
      </c>
      <c r="B25" s="17" t="s">
        <v>172</v>
      </c>
      <c r="C25" s="21" t="s">
        <v>24</v>
      </c>
      <c r="D25" s="26">
        <v>8.920802509037804</v>
      </c>
      <c r="E25" s="60"/>
      <c r="F25" s="60"/>
      <c r="G25" s="23"/>
      <c r="H25" s="23"/>
    </row>
  </sheetData>
  <autoFilter ref="A1:D1" xr:uid="{FD9A7B95-F124-4CE6-993C-88740F8340E7}">
    <sortState xmlns:xlrd2="http://schemas.microsoft.com/office/spreadsheetml/2017/richdata2" ref="A2:D25">
      <sortCondition ref="C1"/>
    </sortState>
  </autoFilter>
  <mergeCells count="8">
    <mergeCell ref="E2:E7"/>
    <mergeCell ref="E8:E13"/>
    <mergeCell ref="E14:E19"/>
    <mergeCell ref="E20:E25"/>
    <mergeCell ref="F2:F7"/>
    <mergeCell ref="F8:F13"/>
    <mergeCell ref="F14:F19"/>
    <mergeCell ref="F20:F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EAD7-2207-4EA2-A633-F6E085B1F34F}">
  <dimension ref="A1:H25"/>
  <sheetViews>
    <sheetView topLeftCell="A11" workbookViewId="0">
      <selection activeCell="B2" sqref="B2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>
      <c r="A1" s="15" t="s">
        <v>94</v>
      </c>
      <c r="B1" s="15" t="s">
        <v>95</v>
      </c>
      <c r="C1" s="15" t="s">
        <v>96</v>
      </c>
      <c r="D1" s="22" t="s">
        <v>173</v>
      </c>
      <c r="E1" s="22" t="s">
        <v>174</v>
      </c>
      <c r="F1" s="22" t="s">
        <v>175</v>
      </c>
    </row>
    <row r="2" spans="1:8">
      <c r="A2" s="9">
        <v>3</v>
      </c>
      <c r="B2" s="17" t="s">
        <v>99</v>
      </c>
      <c r="C2" s="21" t="s">
        <v>31</v>
      </c>
      <c r="D2" s="20">
        <v>5.4080000000000004</v>
      </c>
      <c r="E2" s="58">
        <f>AVERAGE(D2:D7)</f>
        <v>6.0846666666666671</v>
      </c>
      <c r="F2" s="58" t="s">
        <v>176</v>
      </c>
      <c r="G2" s="23"/>
      <c r="H2" s="23"/>
    </row>
    <row r="3" spans="1:8">
      <c r="A3" s="9">
        <v>4</v>
      </c>
      <c r="B3" s="17" t="s">
        <v>100</v>
      </c>
      <c r="C3" s="21" t="s">
        <v>31</v>
      </c>
      <c r="D3" s="20">
        <v>6.4809999999999999</v>
      </c>
      <c r="E3" s="59"/>
      <c r="F3" s="59"/>
      <c r="G3" s="23"/>
      <c r="H3" s="23"/>
    </row>
    <row r="4" spans="1:8">
      <c r="A4" s="9">
        <v>5</v>
      </c>
      <c r="B4" s="17" t="s">
        <v>101</v>
      </c>
      <c r="C4" s="21" t="s">
        <v>31</v>
      </c>
      <c r="D4" s="20">
        <v>6.633</v>
      </c>
      <c r="E4" s="59"/>
      <c r="F4" s="59"/>
      <c r="G4" s="23"/>
      <c r="H4" s="23"/>
    </row>
    <row r="5" spans="1:8">
      <c r="A5" s="9">
        <v>7</v>
      </c>
      <c r="B5" s="17" t="s">
        <v>102</v>
      </c>
      <c r="C5" s="21" t="s">
        <v>31</v>
      </c>
      <c r="D5" s="20">
        <v>5.7450000000000001</v>
      </c>
      <c r="E5" s="59"/>
      <c r="F5" s="59"/>
      <c r="G5" s="23"/>
      <c r="H5" s="23"/>
    </row>
    <row r="6" spans="1:8">
      <c r="A6" s="9">
        <v>10</v>
      </c>
      <c r="B6" s="17" t="s">
        <v>103</v>
      </c>
      <c r="C6" s="21" t="s">
        <v>31</v>
      </c>
      <c r="D6" s="20">
        <v>5.9160000000000004</v>
      </c>
      <c r="E6" s="59"/>
      <c r="F6" s="59"/>
      <c r="G6" s="23"/>
      <c r="H6" s="23"/>
    </row>
    <row r="7" spans="1:8">
      <c r="A7" s="9">
        <v>20</v>
      </c>
      <c r="B7" s="17" t="s">
        <v>104</v>
      </c>
      <c r="C7" s="21" t="s">
        <v>31</v>
      </c>
      <c r="D7" s="20">
        <v>6.3250000000000002</v>
      </c>
      <c r="E7" s="60"/>
      <c r="F7" s="60"/>
      <c r="G7" s="23"/>
      <c r="H7" s="23"/>
    </row>
    <row r="8" spans="1:8">
      <c r="A8" s="9">
        <v>9</v>
      </c>
      <c r="B8" s="17" t="s">
        <v>105</v>
      </c>
      <c r="C8" s="21" t="s">
        <v>34</v>
      </c>
      <c r="D8" s="20">
        <v>5.7450000000000001</v>
      </c>
      <c r="E8" s="58">
        <f>AVERAGE(D8:D13)</f>
        <v>6.0491666666666672</v>
      </c>
      <c r="F8" s="58" t="s">
        <v>176</v>
      </c>
      <c r="G8" s="23"/>
      <c r="H8" s="23"/>
    </row>
    <row r="9" spans="1:8">
      <c r="A9" s="9">
        <v>13</v>
      </c>
      <c r="B9" s="17" t="s">
        <v>106</v>
      </c>
      <c r="C9" s="21" t="s">
        <v>34</v>
      </c>
      <c r="D9" s="20">
        <v>5.8090000000000002</v>
      </c>
      <c r="E9" s="59"/>
      <c r="F9" s="59"/>
      <c r="G9" s="23"/>
      <c r="H9" s="23"/>
    </row>
    <row r="10" spans="1:8">
      <c r="A10" s="9">
        <v>16</v>
      </c>
      <c r="B10" s="17" t="s">
        <v>107</v>
      </c>
      <c r="C10" s="21" t="s">
        <v>34</v>
      </c>
      <c r="D10" s="20">
        <v>6.423</v>
      </c>
      <c r="E10" s="59"/>
      <c r="F10" s="59"/>
      <c r="G10" s="23"/>
      <c r="H10" s="23"/>
    </row>
    <row r="11" spans="1:8">
      <c r="A11" s="9">
        <v>19</v>
      </c>
      <c r="B11" s="17" t="s">
        <v>108</v>
      </c>
      <c r="C11" s="21" t="s">
        <v>34</v>
      </c>
      <c r="D11" s="20">
        <v>6.423</v>
      </c>
      <c r="E11" s="59"/>
      <c r="F11" s="59"/>
      <c r="G11" s="23"/>
      <c r="H11" s="23"/>
    </row>
    <row r="12" spans="1:8">
      <c r="A12" s="9">
        <v>21</v>
      </c>
      <c r="B12" s="17" t="s">
        <v>109</v>
      </c>
      <c r="C12" s="21" t="s">
        <v>34</v>
      </c>
      <c r="D12" s="20">
        <v>5.9160000000000004</v>
      </c>
      <c r="E12" s="59"/>
      <c r="F12" s="59"/>
      <c r="G12" s="23"/>
      <c r="H12" s="23"/>
    </row>
    <row r="13" spans="1:8">
      <c r="A13" s="9">
        <v>23</v>
      </c>
      <c r="B13" s="17" t="s">
        <v>110</v>
      </c>
      <c r="C13" s="21" t="s">
        <v>34</v>
      </c>
      <c r="D13" s="20">
        <v>5.9790000000000001</v>
      </c>
      <c r="E13" s="60"/>
      <c r="F13" s="60"/>
      <c r="G13" s="23"/>
      <c r="H13" s="23"/>
    </row>
    <row r="14" spans="1:8">
      <c r="A14" s="9">
        <v>6</v>
      </c>
      <c r="B14" s="17" t="s">
        <v>111</v>
      </c>
      <c r="C14" s="21" t="s">
        <v>37</v>
      </c>
      <c r="D14" s="20">
        <v>6.7080000000000002</v>
      </c>
      <c r="E14" s="58">
        <f>AVERAGE(D14:D19)</f>
        <v>6.3056666666666672</v>
      </c>
      <c r="F14" s="58" t="s">
        <v>176</v>
      </c>
      <c r="G14" s="23"/>
      <c r="H14" s="23"/>
    </row>
    <row r="15" spans="1:8">
      <c r="A15" s="9">
        <v>8</v>
      </c>
      <c r="B15" s="17" t="s">
        <v>112</v>
      </c>
      <c r="C15" s="21" t="s">
        <v>37</v>
      </c>
      <c r="D15" s="20">
        <v>5.7450000000000001</v>
      </c>
      <c r="E15" s="59"/>
      <c r="F15" s="59"/>
      <c r="G15" s="23"/>
      <c r="H15" s="23"/>
    </row>
    <row r="16" spans="1:8">
      <c r="A16" s="9">
        <v>12</v>
      </c>
      <c r="B16" s="17" t="s">
        <v>113</v>
      </c>
      <c r="C16" s="21" t="s">
        <v>37</v>
      </c>
      <c r="D16" s="20">
        <v>6.2050000000000001</v>
      </c>
      <c r="E16" s="59"/>
      <c r="F16" s="59"/>
      <c r="G16" s="23"/>
      <c r="H16" s="23"/>
    </row>
    <row r="17" spans="1:8">
      <c r="A17" s="9">
        <v>17</v>
      </c>
      <c r="B17" s="17" t="s">
        <v>114</v>
      </c>
      <c r="C17" s="21" t="s">
        <v>37</v>
      </c>
      <c r="D17" s="20">
        <v>6.8369999999999997</v>
      </c>
      <c r="E17" s="59"/>
      <c r="F17" s="59"/>
      <c r="G17" s="23"/>
      <c r="H17" s="23"/>
    </row>
    <row r="18" spans="1:8">
      <c r="A18" s="9">
        <v>18</v>
      </c>
      <c r="B18" s="17" t="s">
        <v>115</v>
      </c>
      <c r="C18" s="21" t="s">
        <v>37</v>
      </c>
      <c r="D18" s="20">
        <v>6.423</v>
      </c>
      <c r="E18" s="59"/>
      <c r="F18" s="59"/>
      <c r="G18" s="23"/>
      <c r="H18" s="23"/>
    </row>
    <row r="19" spans="1:8">
      <c r="A19" s="9">
        <v>24</v>
      </c>
      <c r="B19" s="17" t="s">
        <v>116</v>
      </c>
      <c r="C19" s="21" t="s">
        <v>37</v>
      </c>
      <c r="D19" s="20">
        <v>5.9160000000000004</v>
      </c>
      <c r="E19" s="60"/>
      <c r="F19" s="60"/>
      <c r="G19" s="23"/>
      <c r="H19" s="23"/>
    </row>
    <row r="20" spans="1:8">
      <c r="A20" s="9">
        <v>1</v>
      </c>
      <c r="B20" s="17" t="s">
        <v>117</v>
      </c>
      <c r="C20" s="21" t="s">
        <v>24</v>
      </c>
      <c r="D20" s="20">
        <v>6.9279999999999999</v>
      </c>
      <c r="E20" s="58">
        <f>AVERAGE(D20:D25)</f>
        <v>6.2488333333333337</v>
      </c>
      <c r="F20" s="58" t="s">
        <v>150</v>
      </c>
      <c r="G20" s="23"/>
      <c r="H20" s="23"/>
    </row>
    <row r="21" spans="1:8">
      <c r="A21" s="9">
        <v>2</v>
      </c>
      <c r="B21" s="17" t="s">
        <v>118</v>
      </c>
      <c r="C21" s="21" t="s">
        <v>24</v>
      </c>
      <c r="D21" s="20">
        <v>5.8090000000000002</v>
      </c>
      <c r="E21" s="59"/>
      <c r="F21" s="59"/>
      <c r="G21" s="23"/>
      <c r="H21" s="23"/>
    </row>
    <row r="22" spans="1:8">
      <c r="A22" s="9">
        <v>11</v>
      </c>
      <c r="B22" s="17" t="s">
        <v>119</v>
      </c>
      <c r="C22" s="21" t="s">
        <v>24</v>
      </c>
      <c r="D22" s="20">
        <v>5.7450000000000001</v>
      </c>
      <c r="E22" s="59"/>
      <c r="F22" s="59"/>
      <c r="G22" s="23"/>
      <c r="H22" s="23"/>
    </row>
    <row r="23" spans="1:8">
      <c r="A23" s="9">
        <v>14</v>
      </c>
      <c r="B23" s="17" t="s">
        <v>120</v>
      </c>
      <c r="C23" s="21" t="s">
        <v>24</v>
      </c>
      <c r="D23" s="20">
        <v>6.633</v>
      </c>
      <c r="E23" s="59"/>
      <c r="F23" s="59"/>
      <c r="G23" s="23"/>
      <c r="H23" s="23"/>
    </row>
    <row r="24" spans="1:8">
      <c r="A24" s="9">
        <v>15</v>
      </c>
      <c r="B24" s="19" t="s">
        <v>121</v>
      </c>
      <c r="C24" s="21" t="s">
        <v>24</v>
      </c>
      <c r="D24" s="9">
        <v>5.7450000000000001</v>
      </c>
      <c r="E24" s="59"/>
      <c r="F24" s="59"/>
      <c r="G24" s="23"/>
      <c r="H24" s="23"/>
    </row>
    <row r="25" spans="1:8">
      <c r="A25" s="9">
        <v>22</v>
      </c>
      <c r="B25" s="17" t="s">
        <v>122</v>
      </c>
      <c r="C25" s="21" t="s">
        <v>24</v>
      </c>
      <c r="D25" s="25">
        <v>6.633</v>
      </c>
      <c r="E25" s="60"/>
      <c r="F25" s="60"/>
      <c r="G25" s="23"/>
      <c r="H25" s="23"/>
    </row>
  </sheetData>
  <autoFilter ref="A1:D1" xr:uid="{F294EAD7-2207-4EA2-A633-F6E085B1F34F}">
    <sortState xmlns:xlrd2="http://schemas.microsoft.com/office/spreadsheetml/2017/richdata2" ref="A2:D25">
      <sortCondition ref="C1"/>
    </sortState>
  </autoFilter>
  <mergeCells count="8">
    <mergeCell ref="E20:E25"/>
    <mergeCell ref="F20:F25"/>
    <mergeCell ref="E2:E7"/>
    <mergeCell ref="F2:F7"/>
    <mergeCell ref="E8:E13"/>
    <mergeCell ref="F8:F13"/>
    <mergeCell ref="E14:E19"/>
    <mergeCell ref="F14:F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F627-9C8A-440F-9117-C65AEBF04DD7}">
  <dimension ref="A1:H25"/>
  <sheetViews>
    <sheetView topLeftCell="A6" workbookViewId="0">
      <selection activeCell="C20" sqref="C20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>
      <c r="A1" s="15" t="s">
        <v>94</v>
      </c>
      <c r="B1" s="15" t="s">
        <v>95</v>
      </c>
      <c r="C1" s="15" t="s">
        <v>96</v>
      </c>
      <c r="D1" s="4" t="s">
        <v>177</v>
      </c>
      <c r="E1" s="4" t="s">
        <v>178</v>
      </c>
      <c r="F1" s="4" t="s">
        <v>179</v>
      </c>
    </row>
    <row r="2" spans="1:8" ht="15">
      <c r="A2" s="9">
        <v>3</v>
      </c>
      <c r="B2" s="17" t="s">
        <v>99</v>
      </c>
      <c r="C2" s="21" t="s">
        <v>31</v>
      </c>
      <c r="D2" s="24">
        <v>8.875</v>
      </c>
      <c r="E2" s="58">
        <f>AVERAGE(D2:D7)</f>
        <v>8.7083333333333339</v>
      </c>
      <c r="F2" s="58" t="s">
        <v>180</v>
      </c>
      <c r="G2" s="23"/>
      <c r="H2" s="23"/>
    </row>
    <row r="3" spans="1:8" ht="15">
      <c r="A3" s="9">
        <v>4</v>
      </c>
      <c r="B3" s="17" t="s">
        <v>100</v>
      </c>
      <c r="C3" s="21" t="s">
        <v>31</v>
      </c>
      <c r="D3" s="24">
        <v>8.875</v>
      </c>
      <c r="E3" s="59"/>
      <c r="F3" s="59"/>
      <c r="G3" s="23"/>
      <c r="H3" s="23"/>
    </row>
    <row r="4" spans="1:8" ht="15">
      <c r="A4" s="9">
        <v>5</v>
      </c>
      <c r="B4" s="17" t="s">
        <v>101</v>
      </c>
      <c r="C4" s="21" t="s">
        <v>31</v>
      </c>
      <c r="D4" s="24">
        <v>8.875</v>
      </c>
      <c r="E4" s="59"/>
      <c r="F4" s="59"/>
      <c r="G4" s="23"/>
      <c r="H4" s="23"/>
    </row>
    <row r="5" spans="1:8" ht="15">
      <c r="A5" s="9">
        <v>7</v>
      </c>
      <c r="B5" s="17" t="s">
        <v>102</v>
      </c>
      <c r="C5" s="21" t="s">
        <v>31</v>
      </c>
      <c r="D5" s="24">
        <v>8.875</v>
      </c>
      <c r="E5" s="59"/>
      <c r="F5" s="59"/>
      <c r="G5" s="23"/>
      <c r="H5" s="23"/>
    </row>
    <row r="6" spans="1:8" ht="15">
      <c r="A6" s="9">
        <v>10</v>
      </c>
      <c r="B6" s="17" t="s">
        <v>103</v>
      </c>
      <c r="C6" s="21" t="s">
        <v>31</v>
      </c>
      <c r="D6" s="24">
        <v>8.875</v>
      </c>
      <c r="E6" s="59"/>
      <c r="F6" s="59"/>
      <c r="G6" s="23"/>
      <c r="H6" s="23"/>
    </row>
    <row r="7" spans="1:8" ht="15">
      <c r="A7" s="9">
        <v>20</v>
      </c>
      <c r="B7" s="17" t="s">
        <v>104</v>
      </c>
      <c r="C7" s="21" t="s">
        <v>31</v>
      </c>
      <c r="D7" s="24">
        <v>7.875</v>
      </c>
      <c r="E7" s="60"/>
      <c r="F7" s="60"/>
      <c r="G7" s="23"/>
      <c r="H7" s="23"/>
    </row>
    <row r="8" spans="1:8" ht="15">
      <c r="A8" s="9">
        <v>9</v>
      </c>
      <c r="B8" s="17" t="s">
        <v>105</v>
      </c>
      <c r="C8" s="21" t="s">
        <v>34</v>
      </c>
      <c r="D8" s="24">
        <v>8.375</v>
      </c>
      <c r="E8" s="58">
        <f>AVERAGE(D8:D13)</f>
        <v>8.5416666666666661</v>
      </c>
      <c r="F8" s="58" t="s">
        <v>180</v>
      </c>
      <c r="G8" s="23"/>
      <c r="H8" s="23"/>
    </row>
    <row r="9" spans="1:8" ht="15">
      <c r="A9" s="9">
        <v>13</v>
      </c>
      <c r="B9" s="17" t="s">
        <v>106</v>
      </c>
      <c r="C9" s="21" t="s">
        <v>34</v>
      </c>
      <c r="D9" s="24">
        <v>8.375</v>
      </c>
      <c r="E9" s="59"/>
      <c r="F9" s="59"/>
      <c r="G9" s="23"/>
      <c r="H9" s="23"/>
    </row>
    <row r="10" spans="1:8" ht="15">
      <c r="A10" s="9">
        <v>16</v>
      </c>
      <c r="B10" s="17" t="s">
        <v>107</v>
      </c>
      <c r="C10" s="21" t="s">
        <v>34</v>
      </c>
      <c r="D10" s="24">
        <v>8.875</v>
      </c>
      <c r="E10" s="59"/>
      <c r="F10" s="59"/>
      <c r="G10" s="23"/>
      <c r="H10" s="23"/>
    </row>
    <row r="11" spans="1:8" ht="15">
      <c r="A11" s="9">
        <v>19</v>
      </c>
      <c r="B11" s="17" t="s">
        <v>108</v>
      </c>
      <c r="C11" s="21" t="s">
        <v>34</v>
      </c>
      <c r="D11" s="24">
        <v>8.875</v>
      </c>
      <c r="E11" s="59"/>
      <c r="F11" s="59"/>
      <c r="G11" s="23"/>
      <c r="H11" s="23"/>
    </row>
    <row r="12" spans="1:8" ht="15">
      <c r="A12" s="9">
        <v>21</v>
      </c>
      <c r="B12" s="17" t="s">
        <v>109</v>
      </c>
      <c r="C12" s="21" t="s">
        <v>34</v>
      </c>
      <c r="D12" s="24">
        <v>7.875</v>
      </c>
      <c r="E12" s="59"/>
      <c r="F12" s="59"/>
      <c r="G12" s="23"/>
      <c r="H12" s="23"/>
    </row>
    <row r="13" spans="1:8" ht="15">
      <c r="A13" s="9">
        <v>23</v>
      </c>
      <c r="B13" s="17" t="s">
        <v>110</v>
      </c>
      <c r="C13" s="21" t="s">
        <v>34</v>
      </c>
      <c r="D13" s="24">
        <v>8.875</v>
      </c>
      <c r="E13" s="60"/>
      <c r="F13" s="60"/>
      <c r="G13" s="23"/>
      <c r="H13" s="23"/>
    </row>
    <row r="14" spans="1:8" ht="15">
      <c r="A14" s="9">
        <v>6</v>
      </c>
      <c r="B14" s="17" t="s">
        <v>111</v>
      </c>
      <c r="C14" s="21" t="s">
        <v>37</v>
      </c>
      <c r="D14" s="24">
        <v>8.875</v>
      </c>
      <c r="E14" s="58">
        <f>AVERAGE(D14:D19)</f>
        <v>8.7083333333333339</v>
      </c>
      <c r="F14" s="58" t="s">
        <v>180</v>
      </c>
      <c r="G14" s="23"/>
      <c r="H14" s="23"/>
    </row>
    <row r="15" spans="1:8" ht="15">
      <c r="A15" s="9">
        <v>8</v>
      </c>
      <c r="B15" s="17" t="s">
        <v>112</v>
      </c>
      <c r="C15" s="21" t="s">
        <v>37</v>
      </c>
      <c r="D15" s="24">
        <v>7.875</v>
      </c>
      <c r="E15" s="59"/>
      <c r="F15" s="59"/>
      <c r="G15" s="23"/>
      <c r="H15" s="23"/>
    </row>
    <row r="16" spans="1:8" ht="15">
      <c r="A16" s="9">
        <v>12</v>
      </c>
      <c r="B16" s="17" t="s">
        <v>113</v>
      </c>
      <c r="C16" s="21" t="s">
        <v>37</v>
      </c>
      <c r="D16" s="24">
        <v>8.875</v>
      </c>
      <c r="E16" s="59"/>
      <c r="F16" s="59"/>
      <c r="G16" s="23"/>
      <c r="H16" s="23"/>
    </row>
    <row r="17" spans="1:8" ht="15">
      <c r="A17" s="9">
        <v>17</v>
      </c>
      <c r="B17" s="17" t="s">
        <v>114</v>
      </c>
      <c r="C17" s="21" t="s">
        <v>37</v>
      </c>
      <c r="D17" s="24">
        <v>8.875</v>
      </c>
      <c r="E17" s="59"/>
      <c r="F17" s="59"/>
      <c r="G17" s="23"/>
      <c r="H17" s="23"/>
    </row>
    <row r="18" spans="1:8" ht="15">
      <c r="A18" s="9">
        <v>18</v>
      </c>
      <c r="B18" s="17" t="s">
        <v>115</v>
      </c>
      <c r="C18" s="21" t="s">
        <v>37</v>
      </c>
      <c r="D18" s="24">
        <v>8.875</v>
      </c>
      <c r="E18" s="59"/>
      <c r="F18" s="59"/>
      <c r="G18" s="23"/>
      <c r="H18" s="23"/>
    </row>
    <row r="19" spans="1:8" ht="15">
      <c r="A19" s="9">
        <v>24</v>
      </c>
      <c r="B19" s="17" t="s">
        <v>116</v>
      </c>
      <c r="C19" s="21" t="s">
        <v>37</v>
      </c>
      <c r="D19" s="24">
        <v>8.875</v>
      </c>
      <c r="E19" s="60"/>
      <c r="F19" s="60"/>
      <c r="G19" s="23"/>
      <c r="H19" s="23"/>
    </row>
    <row r="20" spans="1:8" ht="15">
      <c r="A20" s="9">
        <v>1</v>
      </c>
      <c r="B20" s="17" t="s">
        <v>117</v>
      </c>
      <c r="C20" s="21" t="s">
        <v>24</v>
      </c>
      <c r="D20" s="24">
        <v>8.875</v>
      </c>
      <c r="E20" s="58">
        <f>AVERAGE(D20:D25)</f>
        <v>8.5833333333333339</v>
      </c>
      <c r="F20" s="58" t="s">
        <v>180</v>
      </c>
      <c r="G20" s="23"/>
      <c r="H20" s="23"/>
    </row>
    <row r="21" spans="1:8" ht="15">
      <c r="A21" s="9">
        <v>2</v>
      </c>
      <c r="B21" s="17" t="s">
        <v>118</v>
      </c>
      <c r="C21" s="21" t="s">
        <v>24</v>
      </c>
      <c r="D21" s="24">
        <v>8.625</v>
      </c>
      <c r="E21" s="59"/>
      <c r="F21" s="59"/>
      <c r="G21" s="23"/>
      <c r="H21" s="23"/>
    </row>
    <row r="22" spans="1:8" ht="15">
      <c r="A22" s="9">
        <v>11</v>
      </c>
      <c r="B22" s="17" t="s">
        <v>119</v>
      </c>
      <c r="C22" s="21" t="s">
        <v>24</v>
      </c>
      <c r="D22" s="24">
        <v>8.375</v>
      </c>
      <c r="E22" s="59"/>
      <c r="F22" s="59"/>
      <c r="G22" s="23"/>
      <c r="H22" s="23"/>
    </row>
    <row r="23" spans="1:8" ht="15">
      <c r="A23" s="9">
        <v>14</v>
      </c>
      <c r="B23" s="17" t="s">
        <v>120</v>
      </c>
      <c r="C23" s="21" t="s">
        <v>24</v>
      </c>
      <c r="D23" s="24">
        <v>8.875</v>
      </c>
      <c r="E23" s="59"/>
      <c r="F23" s="59"/>
      <c r="G23" s="23"/>
      <c r="H23" s="23"/>
    </row>
    <row r="24" spans="1:8" ht="15">
      <c r="A24" s="9">
        <v>15</v>
      </c>
      <c r="B24" s="19" t="s">
        <v>121</v>
      </c>
      <c r="C24" s="21" t="s">
        <v>24</v>
      </c>
      <c r="D24" s="25">
        <v>7.875</v>
      </c>
      <c r="E24" s="59"/>
      <c r="F24" s="59"/>
      <c r="G24" s="23"/>
      <c r="H24" s="23"/>
    </row>
    <row r="25" spans="1:8" ht="15">
      <c r="A25" s="9">
        <v>22</v>
      </c>
      <c r="B25" s="17" t="s">
        <v>122</v>
      </c>
      <c r="C25" s="21" t="s">
        <v>24</v>
      </c>
      <c r="D25" s="25">
        <v>8.875</v>
      </c>
      <c r="E25" s="60"/>
      <c r="F25" s="60"/>
      <c r="G25" s="23"/>
      <c r="H25" s="23"/>
    </row>
  </sheetData>
  <autoFilter ref="A1:D1" xr:uid="{6981F627-9C8A-440F-9117-C65AEBF04DD7}">
    <sortState xmlns:xlrd2="http://schemas.microsoft.com/office/spreadsheetml/2017/richdata2" ref="A2:D25">
      <sortCondition ref="C1"/>
    </sortState>
  </autoFilter>
  <mergeCells count="8">
    <mergeCell ref="E20:E25"/>
    <mergeCell ref="F20:F25"/>
    <mergeCell ref="E2:E7"/>
    <mergeCell ref="F2:F7"/>
    <mergeCell ref="E8:E13"/>
    <mergeCell ref="F8:F13"/>
    <mergeCell ref="E14:E19"/>
    <mergeCell ref="F14:F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2C4F-17B3-402B-8FBD-99EEF052B529}">
  <dimension ref="A2:U15"/>
  <sheetViews>
    <sheetView workbookViewId="0">
      <selection activeCell="L7" sqref="L7"/>
    </sheetView>
  </sheetViews>
  <sheetFormatPr defaultRowHeight="15"/>
  <cols>
    <col min="1" max="1" width="4" bestFit="1" customWidth="1"/>
    <col min="2" max="2" width="27.140625" bestFit="1" customWidth="1"/>
    <col min="3" max="14" width="12" customWidth="1"/>
  </cols>
  <sheetData>
    <row r="2" spans="1:21">
      <c r="A2" s="46" t="s">
        <v>181</v>
      </c>
      <c r="B2" s="46" t="s">
        <v>182</v>
      </c>
      <c r="C2" s="47" t="s">
        <v>31</v>
      </c>
      <c r="D2" s="47"/>
      <c r="E2" s="47"/>
      <c r="F2" s="47" t="s">
        <v>34</v>
      </c>
      <c r="G2" s="47"/>
      <c r="H2" s="47"/>
      <c r="I2" s="47" t="s">
        <v>37</v>
      </c>
      <c r="J2" s="47"/>
      <c r="K2" s="47"/>
      <c r="L2" s="47" t="s">
        <v>24</v>
      </c>
      <c r="M2" s="47"/>
      <c r="N2" s="47"/>
    </row>
    <row r="3" spans="1:21">
      <c r="A3" s="46"/>
      <c r="B3" s="46"/>
      <c r="C3" s="28" t="s">
        <v>183</v>
      </c>
      <c r="D3" s="28" t="s">
        <v>184</v>
      </c>
      <c r="E3" s="28" t="s">
        <v>185</v>
      </c>
      <c r="F3" s="28" t="s">
        <v>183</v>
      </c>
      <c r="G3" s="28" t="s">
        <v>184</v>
      </c>
      <c r="H3" s="28" t="s">
        <v>185</v>
      </c>
      <c r="I3" s="28" t="s">
        <v>183</v>
      </c>
      <c r="J3" s="28" t="s">
        <v>184</v>
      </c>
      <c r="K3" s="28" t="s">
        <v>185</v>
      </c>
      <c r="L3" s="28" t="s">
        <v>183</v>
      </c>
      <c r="M3" s="28" t="s">
        <v>184</v>
      </c>
      <c r="N3" s="28" t="s">
        <v>185</v>
      </c>
    </row>
    <row r="4" spans="1:21">
      <c r="A4" s="29">
        <v>1</v>
      </c>
      <c r="B4" s="30" t="s">
        <v>186</v>
      </c>
      <c r="C4" s="31">
        <f>IFERROR(COUNTIFS(STR!$V:$V, Overview!C$2, STR!$X:$X, "TRUE")/COUNTIFS(STR!$V:$V, Overview!C2), 0)</f>
        <v>1</v>
      </c>
      <c r="D4" s="32">
        <v>0.15</v>
      </c>
      <c r="E4" s="31">
        <f>D4*C4</f>
        <v>0.15</v>
      </c>
      <c r="F4" s="31">
        <f>IFERROR(COUNTIFS(STR!$V:$V, Overview!F$2, STR!$X:$X, "TRUE")/COUNTIFS(STR!$V:$V, Overview!F2), 0)</f>
        <v>1</v>
      </c>
      <c r="G4" s="32">
        <v>0.15</v>
      </c>
      <c r="H4" s="33">
        <f>G4*F4</f>
        <v>0.15</v>
      </c>
      <c r="I4" s="31">
        <f>IFERROR(COUNTIFS(STR!$V:$V, Overview!I$2, STR!$X:$X, "TRUE")/COUNTIFS(STR!$V:$V, Overview!I2), 0)</f>
        <v>1</v>
      </c>
      <c r="J4" s="32">
        <v>0.15</v>
      </c>
      <c r="K4" s="33">
        <f>J4*I4</f>
        <v>0.15</v>
      </c>
      <c r="L4" s="31">
        <f>IFERROR(COUNTIFS(STR!$V:$V, Overview!L$2, STR!$X:$X, "TRUE")/COUNTIFS(STR!$V:$V, Overview!L2), 0)</f>
        <v>1</v>
      </c>
      <c r="M4" s="32">
        <v>0.15</v>
      </c>
      <c r="N4" s="33">
        <f>M4*L4</f>
        <v>0.15</v>
      </c>
    </row>
    <row r="5" spans="1:21">
      <c r="A5" s="29">
        <v>2</v>
      </c>
      <c r="B5" s="30" t="s">
        <v>123</v>
      </c>
      <c r="C5" s="31">
        <f>1-AVERAGEIF('Bad Data'!$C:$C, Overview!C$2, 'Bad Data'!$D:$D)</f>
        <v>0.99831166666666671</v>
      </c>
      <c r="D5" s="32">
        <v>0.1</v>
      </c>
      <c r="E5" s="31">
        <f t="shared" ref="E5:E14" si="0">D5*C5</f>
        <v>9.9831166666666679E-2</v>
      </c>
      <c r="F5" s="31">
        <f>1-AVERAGEIF('Bad Data'!$C:$C, Overview!F$2, 'Bad Data'!$D:$D)</f>
        <v>0.9977516666666667</v>
      </c>
      <c r="G5" s="32">
        <v>0.1</v>
      </c>
      <c r="H5" s="33">
        <f t="shared" ref="H5:H14" si="1">G5*F5</f>
        <v>9.9775166666666679E-2</v>
      </c>
      <c r="I5" s="31">
        <f>1-AVERAGEIF('Bad Data'!$C:$C, Overview!I$2, 'Bad Data'!$D:$D)</f>
        <v>0.99812333333333336</v>
      </c>
      <c r="J5" s="32">
        <v>0.1</v>
      </c>
      <c r="K5" s="33">
        <f t="shared" ref="K5:K14" si="2">J5*I5</f>
        <v>9.9812333333333336E-2</v>
      </c>
      <c r="L5" s="31">
        <f>1-AVERAGEIF('Bad Data'!$C:$C, Overview!L$2, 'Bad Data'!$D:$D)</f>
        <v>0.99873000000000001</v>
      </c>
      <c r="M5" s="32">
        <v>0.1</v>
      </c>
      <c r="N5" s="33">
        <f t="shared" ref="N5:N14" si="3">M5*L5</f>
        <v>9.9873000000000003E-2</v>
      </c>
    </row>
    <row r="6" spans="1:21">
      <c r="A6" s="29">
        <v>3</v>
      </c>
      <c r="B6" s="30" t="s">
        <v>124</v>
      </c>
      <c r="C6" s="31">
        <f>AVERAGEIF('Pengkinian Data'!$C:$C, Overview!C$2, 'Pengkinian Data'!$D:$D)</f>
        <v>0.99780000000000013</v>
      </c>
      <c r="D6" s="32">
        <v>0.1</v>
      </c>
      <c r="E6" s="31">
        <f t="shared" si="0"/>
        <v>9.9780000000000021E-2</v>
      </c>
      <c r="F6" s="31">
        <f>AVERAGEIF('Pengkinian Data'!$C:$C, Overview!F$2, 'Pengkinian Data'!$D:$D)</f>
        <v>0.99795</v>
      </c>
      <c r="G6" s="32">
        <v>0.1</v>
      </c>
      <c r="H6" s="33">
        <f t="shared" si="1"/>
        <v>9.9795000000000009E-2</v>
      </c>
      <c r="I6" s="31">
        <f>AVERAGEIF('Pengkinian Data'!$C:$C, Overview!I$2, 'Pengkinian Data'!$D:$D)</f>
        <v>0.99891666666666667</v>
      </c>
      <c r="J6" s="32">
        <v>0.1</v>
      </c>
      <c r="K6" s="33">
        <f t="shared" si="2"/>
        <v>9.989166666666667E-2</v>
      </c>
      <c r="L6" s="31">
        <f>AVERAGEIF('Pengkinian Data'!$C:$C, Overview!L$2, 'Pengkinian Data'!$D:$D)</f>
        <v>0.9996666666666667</v>
      </c>
      <c r="M6" s="32">
        <v>0.1</v>
      </c>
      <c r="N6" s="33">
        <f t="shared" si="3"/>
        <v>9.9966666666666676E-2</v>
      </c>
      <c r="U6" t="s">
        <v>187</v>
      </c>
    </row>
    <row r="7" spans="1:21">
      <c r="A7" s="29">
        <v>4</v>
      </c>
      <c r="B7" s="30" t="s">
        <v>188</v>
      </c>
      <c r="C7" s="31" cm="1">
        <f t="array" ref="C7">IFERROR(SUMPRODUCT(--('[1]Uji Petik'!$E$3:$E$73&lt;&gt;""), --('[1]Uji Petik'!$C$3:$C$73=C2)) / SUMPRODUCT(--('[1]Uji Petik'!$C$3:$C$73=C2)), 0)</f>
        <v>0</v>
      </c>
      <c r="D7" s="32">
        <v>0</v>
      </c>
      <c r="E7" s="31">
        <f t="shared" si="0"/>
        <v>0</v>
      </c>
      <c r="F7" s="31" cm="1">
        <f t="array" ref="F7">IFERROR(SUMPRODUCT(--('[1]Uji Petik'!$E$3:$E$73&lt;&gt;""), --('[1]Uji Petik'!$C$3:$C$73=F2)) / SUMPRODUCT(--('[1]Uji Petik'!$C$3:$C$73=F2)), 0)</f>
        <v>0.66666666666666663</v>
      </c>
      <c r="G7" s="32">
        <v>0</v>
      </c>
      <c r="H7" s="33">
        <f t="shared" si="1"/>
        <v>0</v>
      </c>
      <c r="I7" s="31" cm="1">
        <f t="array" ref="I7">IFERROR(SUMPRODUCT(--('[1]Uji Petik'!$E$3:$E$73&lt;&gt;""), --('[1]Uji Petik'!$C$3:$C$73=I2)) / SUMPRODUCT(--('[1]Uji Petik'!$C$3:$C$73=I2)), 0)</f>
        <v>1</v>
      </c>
      <c r="J7" s="32">
        <v>0</v>
      </c>
      <c r="K7" s="33">
        <f t="shared" si="2"/>
        <v>0</v>
      </c>
      <c r="L7" s="31" cm="1">
        <f t="array" ref="L7">IFERROR(SUMPRODUCT(--('[1]Uji Petik'!$E$3:$E$73&lt;&gt;""), --('[1]Uji Petik'!$C$3:$C$73=L2)) / SUMPRODUCT(--('[1]Uji Petik'!$C$3:$C$73=L2)), 0)</f>
        <v>0</v>
      </c>
      <c r="M7" s="32">
        <v>0</v>
      </c>
      <c r="N7" s="33">
        <f t="shared" si="3"/>
        <v>0</v>
      </c>
    </row>
    <row r="8" spans="1:21">
      <c r="A8" s="29">
        <v>5</v>
      </c>
      <c r="B8" s="30" t="s">
        <v>189</v>
      </c>
      <c r="C8" s="34" cm="1">
        <f t="array" ref="C8">IFERROR(AVERAGE(IF([2]Sosialisasi!$C$1:$C$10000=C2, [2]Sosialisasi!$D$1:$D$10000)), 0)</f>
        <v>0</v>
      </c>
      <c r="D8" s="32">
        <v>0.15</v>
      </c>
      <c r="E8" s="31">
        <f t="shared" si="0"/>
        <v>0</v>
      </c>
      <c r="F8" s="34" cm="1">
        <f t="array" ref="F8">IFERROR(AVERAGE(IF([2]Sosialisasi!$C$1:$C$10000=F2, [2]Sosialisasi!$D$1:$D$10000)), 0)</f>
        <v>0.66666666666666663</v>
      </c>
      <c r="G8" s="32">
        <v>0.15</v>
      </c>
      <c r="H8" s="33">
        <f t="shared" si="1"/>
        <v>9.9999999999999992E-2</v>
      </c>
      <c r="I8" s="34" cm="1">
        <f t="array" ref="I8">IFERROR(AVERAGE(IF([2]Sosialisasi!$C$1:$C$10000=I2, [2]Sosialisasi!$D$1:$D$10000)), 0)</f>
        <v>0.5</v>
      </c>
      <c r="J8" s="32">
        <v>0.15</v>
      </c>
      <c r="K8" s="33">
        <f t="shared" si="2"/>
        <v>7.4999999999999997E-2</v>
      </c>
      <c r="L8" s="34" cm="1">
        <f t="array" ref="L8">IFERROR(AVERAGE(IF([2]Sosialisasi!$C$1:$C$10000=L2, [2]Sosialisasi!$D$1:$D$10000)), 0)</f>
        <v>0.5</v>
      </c>
      <c r="M8" s="32">
        <v>0.15</v>
      </c>
      <c r="N8" s="33">
        <f t="shared" si="3"/>
        <v>7.4999999999999997E-2</v>
      </c>
    </row>
    <row r="9" spans="1:21">
      <c r="A9" s="29">
        <v>6</v>
      </c>
      <c r="B9" s="30" t="s">
        <v>190</v>
      </c>
      <c r="C9" s="31">
        <f>AVERAGEIF('EDD PEP PPATK'!$C:$C, Overview!C$2, 'EDD PEP PPATK'!$D:$D)</f>
        <v>0.98043985661356547</v>
      </c>
      <c r="D9" s="32">
        <v>0.1</v>
      </c>
      <c r="E9" s="31">
        <f t="shared" si="0"/>
        <v>9.8043985661356553E-2</v>
      </c>
      <c r="F9" s="31">
        <f>AVERAGEIF('EDD PEP PPATK'!$C:$C, Overview!F$2, 'EDD PEP PPATK'!$D:$D)</f>
        <v>0.99227157743154171</v>
      </c>
      <c r="G9" s="32">
        <v>0.1</v>
      </c>
      <c r="H9" s="33">
        <f t="shared" si="1"/>
        <v>9.9227157743154173E-2</v>
      </c>
      <c r="I9" s="31">
        <f>AVERAGEIF('EDD PEP PPATK'!$C:$C, Overview!I$2, 'EDD PEP PPATK'!$D:$D)</f>
        <v>0.99253393665158374</v>
      </c>
      <c r="J9" s="32">
        <v>0.1</v>
      </c>
      <c r="K9" s="33">
        <f t="shared" si="2"/>
        <v>9.9253393665158382E-2</v>
      </c>
      <c r="L9" s="31">
        <f>AVERAGEIF('EDD PEP PPATK'!$C:$C, Overview!L$2, 'EDD PEP PPATK'!$D:$D)</f>
        <v>0.97114232189420158</v>
      </c>
      <c r="M9" s="32">
        <v>0.1</v>
      </c>
      <c r="N9" s="33">
        <f t="shared" si="3"/>
        <v>9.7114232189420169E-2</v>
      </c>
    </row>
    <row r="10" spans="1:21">
      <c r="A10" s="29">
        <v>7</v>
      </c>
      <c r="B10" s="30" t="s">
        <v>191</v>
      </c>
      <c r="C10" s="31" cm="1">
        <f t="array" ref="C10">IF(IFERROR(AVERAGE(IF('[2]Sheet2 (2)'!$C$1:$C$10000=C$2, '[2]Sheet2 (2)'!$D$1:$D$10000)), 0)&gt;0.9, 1, IFERROR(AVERAGE(IF('[2]Sheet2 (2)'!$C$1:$C$10000=C$2, '[2]Sheet2 (2)'!$D$1:$D$10000)), 0))</f>
        <v>1</v>
      </c>
      <c r="D10" s="32">
        <v>0.05</v>
      </c>
      <c r="E10" s="31">
        <f t="shared" si="0"/>
        <v>0.05</v>
      </c>
      <c r="F10" s="31" cm="1">
        <f t="array" ref="F10">IF(IFERROR(AVERAGE(IF('[2]Sheet2 (2)'!$C$1:$C$10000=F$2, '[2]Sheet2 (2)'!$D$1:$D$10000)), 0)&gt;0.9, 1, IFERROR(AVERAGE(IF('[2]Sheet2 (2)'!$C$1:$C$10000=F$2, '[2]Sheet2 (2)'!$D$1:$D$10000)), 0))</f>
        <v>0.82593985792180169</v>
      </c>
      <c r="G10" s="32">
        <v>0.05</v>
      </c>
      <c r="H10" s="33">
        <f t="shared" si="1"/>
        <v>4.1296992896090089E-2</v>
      </c>
      <c r="I10" s="31" cm="1">
        <f t="array" ref="I10">IF(IFERROR(AVERAGE(IF('[2]Sheet2 (2)'!$C$1:$C$10000=I$2, '[2]Sheet2 (2)'!$D$1:$D$10000)), 0)&gt;0.9, 1, IFERROR(AVERAGE(IF('[2]Sheet2 (2)'!$C$1:$C$10000=I$2, '[2]Sheet2 (2)'!$D$1:$D$10000)), 0))</f>
        <v>1</v>
      </c>
      <c r="J10" s="32">
        <v>0.05</v>
      </c>
      <c r="K10" s="33">
        <f t="shared" si="2"/>
        <v>0.05</v>
      </c>
      <c r="L10" s="31" cm="1">
        <f t="array" ref="L10">IF(IFERROR(AVERAGE(IF('[2]Sheet2 (2)'!$C$1:$C$10000=L$2, '[2]Sheet2 (2)'!$D$1:$D$10000)), 0)&gt;0.9, 1, IFERROR(AVERAGE(IF('[2]Sheet2 (2)'!$C$1:$C$10000=L$2, '[2]Sheet2 (2)'!$D$1:$D$10000)), 0))</f>
        <v>0</v>
      </c>
      <c r="M10" s="32">
        <v>0.05</v>
      </c>
      <c r="N10" s="33">
        <f t="shared" si="3"/>
        <v>0</v>
      </c>
    </row>
    <row r="11" spans="1:21">
      <c r="A11" s="29">
        <v>8</v>
      </c>
      <c r="B11" s="30" t="s">
        <v>192</v>
      </c>
      <c r="C11" s="31" cm="1">
        <f t="array" ref="C11">IF(IFERROR(AVERAGE(IF('[2]Sheet2 (3)'!$C$1:$C$10000=C2, '[2]Sheet2 (3)'!$D$1:$D$10000)), 0)&gt;90, 1, IFERROR(AVERAGE(IF('[2]Sheet2 (3)'!$C$1:$C$10000=C2, '[2]Sheet2 (3)'!$D$1:$D$10000)), 0)/90)</f>
        <v>1</v>
      </c>
      <c r="D11" s="32">
        <v>0.05</v>
      </c>
      <c r="E11" s="31">
        <f t="shared" si="0"/>
        <v>0.05</v>
      </c>
      <c r="F11" s="31" cm="1">
        <f t="array" ref="F11">IF(IFERROR(AVERAGE(IF('[2]Sheet2 (3)'!$C$1:$C$10000=F2, '[2]Sheet2 (3)'!$D$1:$D$10000)), 0)&gt;90, 1, IFERROR(AVERAGE(IF('[2]Sheet2 (3)'!$C$1:$C$10000=F2, '[2]Sheet2 (3)'!$D$1:$D$10000)), 0)/90)</f>
        <v>1</v>
      </c>
      <c r="G11" s="32">
        <v>0.05</v>
      </c>
      <c r="H11" s="33">
        <f t="shared" si="1"/>
        <v>0.05</v>
      </c>
      <c r="I11" s="31" cm="1">
        <f t="array" ref="I11">IF(IFERROR(AVERAGE(IF('[2]Sheet2 (3)'!$C$1:$C$10000=I2, '[2]Sheet2 (3)'!$D$1:$D$10000)), 0)&gt;90, 1, IFERROR(AVERAGE(IF('[2]Sheet2 (3)'!$C$1:$C$10000=I2, '[2]Sheet2 (3)'!$D$1:$D$10000)), 0)/90)</f>
        <v>1</v>
      </c>
      <c r="J11" s="32">
        <v>0.05</v>
      </c>
      <c r="K11" s="33">
        <f t="shared" si="2"/>
        <v>0.05</v>
      </c>
      <c r="L11" s="31" cm="1">
        <f t="array" ref="L11">IF(IFERROR(AVERAGE(IF('[2]Sheet2 (3)'!$C$1:$C$10000=L2, '[2]Sheet2 (3)'!$D$1:$D$10000)), 0)&gt;90, 1, IFERROR(AVERAGE(IF('[2]Sheet2 (3)'!$C$1:$C$10000=L2, '[2]Sheet2 (3)'!$D$1:$D$10000)), 0)/90)</f>
        <v>1</v>
      </c>
      <c r="M11" s="32">
        <v>0.05</v>
      </c>
      <c r="N11" s="33">
        <f t="shared" si="3"/>
        <v>0.05</v>
      </c>
    </row>
    <row r="12" spans="1:21">
      <c r="A12" s="29">
        <v>9</v>
      </c>
      <c r="B12" s="30" t="s">
        <v>193</v>
      </c>
      <c r="C12" s="31">
        <f>IF(AVERAGEIF('Nilai Maturitas'!$C:$C, Overview!C2, 'Nilai Maturitas'!$D:$D) &gt; 8, 110%, AVERAGEIF('Nilai Maturitas'!$C:$C, Overview!C2, 'Nilai Maturitas'!$D:$D)/8*100%)</f>
        <v>1.1000000000000001</v>
      </c>
      <c r="D12" s="32">
        <v>0.1</v>
      </c>
      <c r="E12" s="31">
        <f t="shared" si="0"/>
        <v>0.11000000000000001</v>
      </c>
      <c r="F12" s="31">
        <f>IF(AVERAGEIF('Nilai Maturitas'!$C:$C, Overview!F2, 'Nilai Maturitas'!$D:$D) &gt; 8, 110%, AVERAGEIF('Nilai Maturitas'!$C:$C, Overview!F2, 'Nilai Maturitas'!$D:$D)/8*100%)</f>
        <v>1.1000000000000001</v>
      </c>
      <c r="G12" s="32">
        <v>0.1</v>
      </c>
      <c r="H12" s="33">
        <f t="shared" si="1"/>
        <v>0.11000000000000001</v>
      </c>
      <c r="I12" s="31">
        <f>IF(AVERAGEIF('Nilai Maturitas'!$C:$C, Overview!I2, 'Nilai Maturitas'!$D:$D) &gt; 8, 110%, AVERAGEIF('Nilai Maturitas'!$C:$C, Overview!I2, 'Nilai Maturitas'!$D:$D)/8*100%)</f>
        <v>1.1000000000000001</v>
      </c>
      <c r="J12" s="32">
        <v>0.1</v>
      </c>
      <c r="K12" s="33">
        <f t="shared" si="2"/>
        <v>0.11000000000000001</v>
      </c>
      <c r="L12" s="31">
        <f>IF(AVERAGEIF('Nilai Maturitas'!$C:$C, Overview!L2, 'Nilai Maturitas'!$D:$D) &gt; 8, 110%, AVERAGEIF('Nilai Maturitas'!$C:$C, Overview!L2, 'Nilai Maturitas'!$D:$D)/8*100%)</f>
        <v>1.1000000000000001</v>
      </c>
      <c r="M12" s="32">
        <v>0.1</v>
      </c>
      <c r="N12" s="33">
        <f t="shared" si="3"/>
        <v>0.11000000000000001</v>
      </c>
    </row>
    <row r="13" spans="1:21">
      <c r="A13" s="29">
        <v>10</v>
      </c>
      <c r="B13" s="30" t="s">
        <v>194</v>
      </c>
      <c r="C13" s="31">
        <f>IF(AVERAGEIF('Maturitas Dashboard'!$C:$C, Overview!C$2, 'Maturitas Dashboard'!$D:$D) &gt; 8, 110%, AVERAGEIF('Maturitas Dashboard'!$C:$C, Overview!C$2, 'Maturitas Dashboard'!$D:$D)/8*100%)</f>
        <v>1.1000000000000001</v>
      </c>
      <c r="D13" s="32">
        <v>0.1</v>
      </c>
      <c r="E13" s="31">
        <f t="shared" si="0"/>
        <v>0.11000000000000001</v>
      </c>
      <c r="F13" s="31">
        <f>IF(AVERAGEIF('Maturitas Dashboard'!$C:$C, Overview!F$2, 'Maturitas Dashboard'!$D:$D) &gt; 8, 110%, AVERAGEIF('Maturitas Dashboard'!$C:$C, Overview!F$2, 'Maturitas Dashboard'!$D:$D)/8*100%)</f>
        <v>1.1000000000000001</v>
      </c>
      <c r="G13" s="32">
        <v>0.1</v>
      </c>
      <c r="H13" s="33">
        <f t="shared" si="1"/>
        <v>0.11000000000000001</v>
      </c>
      <c r="I13" s="31">
        <f>IF(AVERAGEIF('Maturitas Dashboard'!$C:$C, Overview!I$2, 'Maturitas Dashboard'!$D:$D) &gt; 8, 110%, AVERAGEIF('Maturitas Dashboard'!$C:$C, Overview!I$2, 'Maturitas Dashboard'!$D:$D)/8*100%)</f>
        <v>1.1000000000000001</v>
      </c>
      <c r="J13" s="32">
        <v>0.1</v>
      </c>
      <c r="K13" s="33">
        <f t="shared" si="2"/>
        <v>0.11000000000000001</v>
      </c>
      <c r="L13" s="31">
        <f>IF(AVERAGEIF('Maturitas Dashboard'!$C:$C, Overview!L$2, 'Maturitas Dashboard'!$D:$D) &gt; 8, 110%, AVERAGEIF('Maturitas Dashboard'!$C:$C, Overview!L$2, 'Maturitas Dashboard'!$D:$D)/8*100%)</f>
        <v>1.1000000000000001</v>
      </c>
      <c r="M13" s="32">
        <v>0.1</v>
      </c>
      <c r="N13" s="33">
        <f t="shared" si="3"/>
        <v>0.11000000000000001</v>
      </c>
    </row>
    <row r="14" spans="1:21">
      <c r="A14" s="35">
        <v>11</v>
      </c>
      <c r="B14" s="36" t="s">
        <v>195</v>
      </c>
      <c r="C14" s="37">
        <f>IF(AVERAGEIF('Penilaian Resiko'!$C:$C, Overview!C$2, 'Penilaian Resiko'!$D:$D) &lt; 5.8, 110%, IF(AVERAGEIF('Penilaian Resiko'!$C:$C, Overview!C$2, 'Penilaian Resiko'!$D:$D) &lt;7.4, 3/4*100%, 3/5*100%))</f>
        <v>0.75</v>
      </c>
      <c r="D14" s="38">
        <v>0.1</v>
      </c>
      <c r="E14" s="37">
        <f t="shared" si="0"/>
        <v>7.5000000000000011E-2</v>
      </c>
      <c r="F14" s="37">
        <f>IF(AVERAGEIF('Penilaian Resiko'!$C:$C, Overview!F$2, 'Penilaian Resiko'!$D:$D) &lt; 5.8, 110%, IF(AVERAGEIF('Penilaian Resiko'!$C:$C, Overview!F$2, 'Penilaian Resiko'!$D:$D) &lt;7.4, 3/4*100%, 3/5*100%))</f>
        <v>0.75</v>
      </c>
      <c r="G14" s="38">
        <v>0.1</v>
      </c>
      <c r="H14" s="39">
        <f t="shared" si="1"/>
        <v>7.5000000000000011E-2</v>
      </c>
      <c r="I14" s="37">
        <f>IF(AVERAGEIF('Penilaian Resiko'!$C:$C, Overview!I$2, 'Penilaian Resiko'!$D:$D) &lt; 5.8, 110%, IF(AVERAGEIF('Penilaian Resiko'!$C:$C, Overview!I$2, 'Penilaian Resiko'!$D:$D) &lt;7.4, 3/4*100%, 3/5*100%))</f>
        <v>0.75</v>
      </c>
      <c r="J14" s="38">
        <v>0.1</v>
      </c>
      <c r="K14" s="39">
        <f t="shared" si="2"/>
        <v>7.5000000000000011E-2</v>
      </c>
      <c r="L14" s="37">
        <f>IF(AVERAGEIF('Penilaian Resiko'!$C:$C, Overview!L$2, 'Penilaian Resiko'!$D:$D) &lt; 5.8, 110%, IF(AVERAGEIF('Penilaian Resiko'!$C:$C, Overview!L$2, 'Penilaian Resiko'!$D:$D) &lt;7.4, 3/4*100%, 3/5*100%))</f>
        <v>0.75</v>
      </c>
      <c r="M14" s="38">
        <v>0.1</v>
      </c>
      <c r="N14" s="39">
        <f t="shared" si="3"/>
        <v>7.5000000000000011E-2</v>
      </c>
    </row>
    <row r="15" spans="1:21">
      <c r="A15" s="40"/>
      <c r="B15" s="40"/>
      <c r="C15" s="44" t="s">
        <v>196</v>
      </c>
      <c r="D15" s="45"/>
      <c r="E15" s="41">
        <f>SUM(E4:E14)</f>
        <v>0.84265515232802324</v>
      </c>
      <c r="F15" s="44" t="s">
        <v>196</v>
      </c>
      <c r="G15" s="45"/>
      <c r="H15" s="41">
        <f>SUM(H4:H14)</f>
        <v>0.93509431730591097</v>
      </c>
      <c r="I15" s="44" t="s">
        <v>196</v>
      </c>
      <c r="J15" s="45"/>
      <c r="K15" s="41">
        <f>SUM(K4:K14)</f>
        <v>0.9189573936651585</v>
      </c>
      <c r="L15" s="44" t="s">
        <v>196</v>
      </c>
      <c r="M15" s="45"/>
      <c r="N15" s="41">
        <f>SUM(N4:N14)</f>
        <v>0.86695389885608676</v>
      </c>
    </row>
  </sheetData>
  <mergeCells count="10">
    <mergeCell ref="C15:D15"/>
    <mergeCell ref="F15:G15"/>
    <mergeCell ref="I15:J15"/>
    <mergeCell ref="L15:M15"/>
    <mergeCell ref="A2:A3"/>
    <mergeCell ref="B2:B3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0A07-AFA6-448B-A0D6-C08F7A8AD9C0}">
  <dimension ref="A2:R15"/>
  <sheetViews>
    <sheetView workbookViewId="0">
      <selection activeCell="L7" sqref="L7"/>
    </sheetView>
  </sheetViews>
  <sheetFormatPr defaultRowHeight="15"/>
  <cols>
    <col min="1" max="1" width="4" bestFit="1" customWidth="1"/>
    <col min="2" max="2" width="27.140625" bestFit="1" customWidth="1"/>
    <col min="3" max="11" width="12" customWidth="1"/>
    <col min="12" max="12" width="9.28515625" bestFit="1" customWidth="1"/>
    <col min="14" max="14" width="9.85546875" bestFit="1" customWidth="1"/>
  </cols>
  <sheetData>
    <row r="2" spans="1:18">
      <c r="A2" s="46" t="s">
        <v>181</v>
      </c>
      <c r="B2" s="46" t="s">
        <v>182</v>
      </c>
      <c r="C2" s="47" t="s">
        <v>31</v>
      </c>
      <c r="D2" s="47"/>
      <c r="E2" s="47"/>
      <c r="F2" s="47" t="s">
        <v>34</v>
      </c>
      <c r="G2" s="47"/>
      <c r="H2" s="47"/>
      <c r="I2" s="47" t="s">
        <v>37</v>
      </c>
      <c r="J2" s="47"/>
      <c r="K2" s="47"/>
      <c r="L2" s="47" t="s">
        <v>24</v>
      </c>
      <c r="M2" s="47"/>
      <c r="N2" s="47"/>
    </row>
    <row r="3" spans="1:18">
      <c r="A3" s="46"/>
      <c r="B3" s="46"/>
      <c r="C3" s="28" t="s">
        <v>183</v>
      </c>
      <c r="D3" s="28" t="s">
        <v>197</v>
      </c>
      <c r="E3" s="28" t="s">
        <v>185</v>
      </c>
      <c r="F3" s="28" t="s">
        <v>183</v>
      </c>
      <c r="G3" s="28" t="s">
        <v>197</v>
      </c>
      <c r="H3" s="28" t="s">
        <v>185</v>
      </c>
      <c r="I3" s="28" t="s">
        <v>183</v>
      </c>
      <c r="J3" s="28" t="s">
        <v>197</v>
      </c>
      <c r="K3" s="28" t="s">
        <v>185</v>
      </c>
      <c r="L3" s="28" t="s">
        <v>183</v>
      </c>
      <c r="M3" s="28" t="s">
        <v>197</v>
      </c>
      <c r="N3" s="28" t="s">
        <v>185</v>
      </c>
    </row>
    <row r="4" spans="1:18">
      <c r="A4" s="29">
        <v>1</v>
      </c>
      <c r="B4" s="30" t="s">
        <v>186</v>
      </c>
      <c r="C4" s="31">
        <f>IFERROR(COUNTIFS(STR!$V:$V, 'Overview tanpa KPI'!C$2, STR!$X:$X, "TRUE")/COUNTIFS(STR!$V:$V, 'Overview tanpa KPI'!C2), 0)</f>
        <v>1</v>
      </c>
      <c r="D4" s="32">
        <v>0.15</v>
      </c>
      <c r="E4" s="31">
        <f>D4*C4</f>
        <v>0.15</v>
      </c>
      <c r="F4" s="31">
        <f>IFERROR(COUNTIFS(STR!$V:$V, 'Overview tanpa KPI'!F$2, STR!$X:$X, "TRUE")/COUNTIFS(STR!$V:$V, 'Overview tanpa KPI'!F2), 0)</f>
        <v>1</v>
      </c>
      <c r="G4" s="32">
        <v>0.15</v>
      </c>
      <c r="H4" s="33">
        <f>G4*F4</f>
        <v>0.15</v>
      </c>
      <c r="I4" s="31">
        <f>IFERROR(COUNTIFS(STR!$V:$V, 'Overview tanpa KPI'!I$2, STR!$X:$X, "TRUE")/COUNTIFS(STR!$V:$V, 'Overview tanpa KPI'!I2), 0)</f>
        <v>1</v>
      </c>
      <c r="J4" s="32">
        <v>0.15</v>
      </c>
      <c r="K4" s="33">
        <f>J4*I4</f>
        <v>0.15</v>
      </c>
      <c r="L4" s="31">
        <f>IFERROR(COUNTIFS(STR!$V:$V, 'Overview tanpa KPI'!L$2, STR!$X:$X, "TRUE")/COUNTIFS(STR!$V:$V, 'Overview tanpa KPI'!L2), 0)</f>
        <v>1</v>
      </c>
      <c r="M4" s="32">
        <v>0.15</v>
      </c>
      <c r="N4" s="33">
        <f>M4*L4</f>
        <v>0.15</v>
      </c>
    </row>
    <row r="5" spans="1:18">
      <c r="A5" s="29">
        <v>2</v>
      </c>
      <c r="B5" s="30" t="s">
        <v>123</v>
      </c>
      <c r="C5" s="31">
        <f>1-AVERAGEIF('Bad Data'!$C:$C, 'Overview tanpa KPI'!C$2, 'Bad Data'!$D:$D)</f>
        <v>0.99831166666666671</v>
      </c>
      <c r="D5" s="32">
        <v>0.1</v>
      </c>
      <c r="E5" s="31">
        <f t="shared" ref="E5:E14" si="0">D5*C5</f>
        <v>9.9831166666666679E-2</v>
      </c>
      <c r="F5" s="31">
        <f>1-AVERAGEIF('Bad Data'!$C:$C, 'Overview tanpa KPI'!F$2, 'Bad Data'!$D:$D)</f>
        <v>0.9977516666666667</v>
      </c>
      <c r="G5" s="32">
        <v>0.1</v>
      </c>
      <c r="H5" s="33">
        <f t="shared" ref="H5:H14" si="1">G5*F5</f>
        <v>9.9775166666666679E-2</v>
      </c>
      <c r="I5" s="31">
        <f>1-AVERAGEIF('Bad Data'!$C:$C, 'Overview tanpa KPI'!I$2, 'Bad Data'!$D:$D)</f>
        <v>0.99812333333333336</v>
      </c>
      <c r="J5" s="32">
        <v>0.1</v>
      </c>
      <c r="K5" s="33">
        <f t="shared" ref="K5:K14" si="2">J5*I5</f>
        <v>9.9812333333333336E-2</v>
      </c>
      <c r="L5" s="31">
        <f>1-AVERAGEIF('Bad Data'!$C:$C, 'Overview tanpa KPI'!L$2, 'Bad Data'!$D:$D)</f>
        <v>0.99873000000000001</v>
      </c>
      <c r="M5" s="32">
        <v>0.1</v>
      </c>
      <c r="N5" s="33">
        <f t="shared" ref="N5:N14" si="3">M5*L5</f>
        <v>9.9873000000000003E-2</v>
      </c>
    </row>
    <row r="6" spans="1:18">
      <c r="A6" s="29">
        <v>3</v>
      </c>
      <c r="B6" s="30" t="s">
        <v>124</v>
      </c>
      <c r="C6" s="31">
        <f>AVERAGEIF('Pengkinian Data'!$C:$C, 'Overview tanpa KPI'!C$2, 'Pengkinian Data'!$D:$D)</f>
        <v>0.99780000000000013</v>
      </c>
      <c r="D6" s="32">
        <v>0.1</v>
      </c>
      <c r="E6" s="31">
        <f t="shared" si="0"/>
        <v>9.9780000000000021E-2</v>
      </c>
      <c r="F6" s="31">
        <f>AVERAGEIF('Pengkinian Data'!$C:$C, 'Overview tanpa KPI'!F$2, 'Pengkinian Data'!$D:$D)</f>
        <v>0.99795</v>
      </c>
      <c r="G6" s="32">
        <v>0.1</v>
      </c>
      <c r="H6" s="33">
        <f t="shared" si="1"/>
        <v>9.9795000000000009E-2</v>
      </c>
      <c r="I6" s="31">
        <f>AVERAGEIF('Pengkinian Data'!$C:$C, 'Overview tanpa KPI'!I$2, 'Pengkinian Data'!$D:$D)</f>
        <v>0.99891666666666667</v>
      </c>
      <c r="J6" s="32">
        <v>0.1</v>
      </c>
      <c r="K6" s="33">
        <f t="shared" si="2"/>
        <v>9.989166666666667E-2</v>
      </c>
      <c r="L6" s="31">
        <f>AVERAGEIF('Pengkinian Data'!$C:$C, 'Overview tanpa KPI'!L$2, 'Pengkinian Data'!$D:$D)</f>
        <v>0.9996666666666667</v>
      </c>
      <c r="M6" s="32">
        <v>0.1</v>
      </c>
      <c r="N6" s="33">
        <f t="shared" si="3"/>
        <v>9.9966666666666676E-2</v>
      </c>
      <c r="R6" t="s">
        <v>187</v>
      </c>
    </row>
    <row r="7" spans="1:18">
      <c r="A7" s="29">
        <v>4</v>
      </c>
      <c r="B7" s="30" t="s">
        <v>188</v>
      </c>
      <c r="C7" s="31" cm="1">
        <f t="array" ref="C7">IFERROR(SUMPRODUCT(--('[1]Uji Petik'!$E$3:$E$73&lt;&gt;""), --('[1]Uji Petik'!$C$3:$C$73=C2)) / SUMPRODUCT(--('[1]Uji Petik'!$C$3:$C$73=C2)), 0)</f>
        <v>0</v>
      </c>
      <c r="D7" s="32">
        <v>0</v>
      </c>
      <c r="E7" s="31">
        <f t="shared" si="0"/>
        <v>0</v>
      </c>
      <c r="F7" s="31" cm="1">
        <f t="array" ref="F7">IFERROR(SUMPRODUCT(--('[1]Uji Petik'!$E$3:$E$73&lt;&gt;""), --('[1]Uji Petik'!$C$3:$C$73=F2)) / SUMPRODUCT(--('[1]Uji Petik'!$C$3:$C$73=F2)), 0)</f>
        <v>0.66666666666666663</v>
      </c>
      <c r="G7" s="32">
        <v>0</v>
      </c>
      <c r="H7" s="33">
        <f t="shared" si="1"/>
        <v>0</v>
      </c>
      <c r="I7" s="31" cm="1">
        <f t="array" ref="I7">IFERROR(SUMPRODUCT(--('[1]Uji Petik'!$E$3:$E$73&lt;&gt;""), --('[1]Uji Petik'!$C$3:$C$73=I2)) / SUMPRODUCT(--('[1]Uji Petik'!$C$3:$C$73=I2)), 0)</f>
        <v>1</v>
      </c>
      <c r="J7" s="32">
        <v>0</v>
      </c>
      <c r="K7" s="33">
        <f t="shared" si="2"/>
        <v>0</v>
      </c>
      <c r="L7" s="31" cm="1">
        <f t="array" ref="L7">IFERROR(SUMPRODUCT(--('[1]Uji Petik'!$E$3:$E$73&lt;&gt;""), --('[1]Uji Petik'!$C$3:$C$73=L2)) / SUMPRODUCT(--('[1]Uji Petik'!$C$3:$C$73=L2)), 0)</f>
        <v>0</v>
      </c>
      <c r="M7" s="32">
        <v>0</v>
      </c>
      <c r="N7" s="33">
        <f t="shared" si="3"/>
        <v>0</v>
      </c>
    </row>
    <row r="8" spans="1:18">
      <c r="A8" s="29">
        <v>5</v>
      </c>
      <c r="B8" s="30" t="s">
        <v>189</v>
      </c>
      <c r="C8" s="34" cm="1">
        <f t="array" ref="C8">IFERROR(AVERAGE(IF([2]Sosialisasi!$C$1:$C$10000=C2, [2]Sosialisasi!$D$1:$D$10000)), 0)</f>
        <v>0</v>
      </c>
      <c r="D8" s="32">
        <v>0.15</v>
      </c>
      <c r="E8" s="31">
        <f t="shared" si="0"/>
        <v>0</v>
      </c>
      <c r="F8" s="34" cm="1">
        <f t="array" ref="F8">IFERROR(AVERAGE(IF([2]Sosialisasi!$C$1:$C$10000=F2, [2]Sosialisasi!$D$1:$D$10000)), 0)</f>
        <v>0.66666666666666663</v>
      </c>
      <c r="G8" s="32">
        <v>0.15</v>
      </c>
      <c r="H8" s="33">
        <f t="shared" si="1"/>
        <v>9.9999999999999992E-2</v>
      </c>
      <c r="I8" s="34" cm="1">
        <f t="array" ref="I8">IFERROR(AVERAGE(IF([2]Sosialisasi!$C$1:$C$10000=I2, [2]Sosialisasi!$D$1:$D$10000)), 0)</f>
        <v>0.5</v>
      </c>
      <c r="J8" s="32">
        <v>0.15</v>
      </c>
      <c r="K8" s="33">
        <f t="shared" si="2"/>
        <v>7.4999999999999997E-2</v>
      </c>
      <c r="L8" s="34" cm="1">
        <f t="array" ref="L8">IFERROR(AVERAGE(IF([2]Sosialisasi!$C$1:$C$10000=L2, [2]Sosialisasi!$D$1:$D$10000)), 0)</f>
        <v>0.5</v>
      </c>
      <c r="M8" s="32">
        <v>0.15</v>
      </c>
      <c r="N8" s="33">
        <f t="shared" si="3"/>
        <v>7.4999999999999997E-2</v>
      </c>
    </row>
    <row r="9" spans="1:18">
      <c r="A9" s="29">
        <v>6</v>
      </c>
      <c r="B9" s="30" t="s">
        <v>190</v>
      </c>
      <c r="C9" s="31">
        <f>AVERAGEIF('EDD PEP PPATK'!$C:$C, 'Overview tanpa KPI'!C$2, 'EDD PEP PPATK'!$D:$D)</f>
        <v>0.98043985661356547</v>
      </c>
      <c r="D9" s="32">
        <v>0.1</v>
      </c>
      <c r="E9" s="31">
        <f t="shared" si="0"/>
        <v>9.8043985661356553E-2</v>
      </c>
      <c r="F9" s="31">
        <f>AVERAGEIF('EDD PEP PPATK'!$C:$C, 'Overview tanpa KPI'!F$2, 'EDD PEP PPATK'!$D:$D)</f>
        <v>0.99227157743154171</v>
      </c>
      <c r="G9" s="32">
        <v>0.1</v>
      </c>
      <c r="H9" s="33">
        <f t="shared" si="1"/>
        <v>9.9227157743154173E-2</v>
      </c>
      <c r="I9" s="31">
        <f>AVERAGEIF('EDD PEP PPATK'!$C:$C, 'Overview tanpa KPI'!I$2, 'EDD PEP PPATK'!$D:$D)</f>
        <v>0.99253393665158374</v>
      </c>
      <c r="J9" s="32">
        <v>0.1</v>
      </c>
      <c r="K9" s="33">
        <f t="shared" si="2"/>
        <v>9.9253393665158382E-2</v>
      </c>
      <c r="L9" s="31">
        <f>AVERAGEIF('EDD PEP PPATK'!$C:$C, 'Overview tanpa KPI'!L$2, 'EDD PEP PPATK'!$D:$D)</f>
        <v>0.97114232189420158</v>
      </c>
      <c r="M9" s="32">
        <v>0.1</v>
      </c>
      <c r="N9" s="33">
        <f t="shared" si="3"/>
        <v>9.7114232189420169E-2</v>
      </c>
    </row>
    <row r="10" spans="1:18">
      <c r="A10" s="29">
        <v>7</v>
      </c>
      <c r="B10" s="30" t="s">
        <v>191</v>
      </c>
      <c r="C10" s="31" cm="1">
        <f t="array" ref="C10">IFERROR(AVERAGE(IF('[2]Sheet2 (2)'!$C$1:$C$10000=C$2, '[2]Sheet2 (2)'!$D$1:$D$10000)), 0)</f>
        <v>0.92832843519802266</v>
      </c>
      <c r="D10" s="32">
        <v>0.05</v>
      </c>
      <c r="E10" s="31">
        <f t="shared" si="0"/>
        <v>4.6416421759901134E-2</v>
      </c>
      <c r="F10" s="31" cm="1">
        <f t="array" ref="F10">IFERROR(AVERAGE(IF('[2]Sheet2 (2)'!$C$1:$C$10000=F$2, '[2]Sheet2 (2)'!$D$1:$D$10000)), 0)</f>
        <v>0.82593985792180169</v>
      </c>
      <c r="G10" s="32">
        <v>0.05</v>
      </c>
      <c r="H10" s="33">
        <f t="shared" si="1"/>
        <v>4.1296992896090089E-2</v>
      </c>
      <c r="I10" s="31" cm="1">
        <f t="array" ref="I10">IFERROR(AVERAGE(IF('[2]Sheet2 (2)'!$C$1:$C$10000=I$2, '[2]Sheet2 (2)'!$D$1:$D$10000)), 0)</f>
        <v>0.93426981673161569</v>
      </c>
      <c r="J10" s="32">
        <v>0.05</v>
      </c>
      <c r="K10" s="33">
        <f t="shared" si="2"/>
        <v>4.6713490836580787E-2</v>
      </c>
      <c r="L10" s="31" cm="1">
        <f t="array" ref="L10">IFERROR(AVERAGE(IF('[2]Sheet2 (2)'!$C$1:$C$10000=L$2, '[2]Sheet2 (2)'!$D$1:$D$10000)), 0)</f>
        <v>0</v>
      </c>
      <c r="M10" s="32">
        <v>0.05</v>
      </c>
      <c r="N10" s="33">
        <f t="shared" si="3"/>
        <v>0</v>
      </c>
    </row>
    <row r="11" spans="1:18">
      <c r="A11" s="29">
        <v>8</v>
      </c>
      <c r="B11" s="30" t="s">
        <v>192</v>
      </c>
      <c r="C11" s="31" cm="1">
        <f t="array" ref="C11">IFERROR(AVERAGE(IF('[2]Sheet2 (3)'!$C$1:$C$10000=C2, '[2]Sheet2 (3)'!$D$1:$D$10000)), 0)</f>
        <v>97.472091540000008</v>
      </c>
      <c r="D11" s="32">
        <v>0.05</v>
      </c>
      <c r="E11" s="31">
        <f t="shared" si="0"/>
        <v>4.8736045770000009</v>
      </c>
      <c r="F11" s="31" cm="1">
        <f t="array" ref="F11">IFERROR(AVERAGE(IF('[2]Sheet2 (3)'!$C$1:$C$10000=F2, '[2]Sheet2 (3)'!$D$1:$D$10000)), 0)</f>
        <v>96.73330584833333</v>
      </c>
      <c r="G11" s="32">
        <v>0.05</v>
      </c>
      <c r="H11" s="33">
        <f t="shared" si="1"/>
        <v>4.8366652924166669</v>
      </c>
      <c r="I11" s="31" cm="1">
        <f t="array" ref="I11">IFERROR(AVERAGE(IF('[2]Sheet2 (3)'!$C$1:$C$10000=I2, '[2]Sheet2 (3)'!$D$1:$D$10000)), 0)</f>
        <v>97.38394581499999</v>
      </c>
      <c r="J11" s="32">
        <v>0.05</v>
      </c>
      <c r="K11" s="33">
        <f t="shared" si="2"/>
        <v>4.8691972907499999</v>
      </c>
      <c r="L11" s="31" cm="1">
        <f t="array" ref="L11">IFERROR(AVERAGE(IF('[2]Sheet2 (3)'!$C$1:$C$10000=L2, '[2]Sheet2 (3)'!$D$1:$D$10000)), 0)</f>
        <v>95.534685468333336</v>
      </c>
      <c r="M11" s="32">
        <v>0.05</v>
      </c>
      <c r="N11" s="33">
        <f t="shared" si="3"/>
        <v>4.7767342734166673</v>
      </c>
    </row>
    <row r="12" spans="1:18">
      <c r="A12" s="29">
        <v>9</v>
      </c>
      <c r="B12" s="30" t="s">
        <v>193</v>
      </c>
      <c r="C12" s="31">
        <f>AVERAGEIF('Nilai Maturitas'!$C:$C, 'Overview tanpa KPI'!C2, 'Nilai Maturitas'!$D:$D)</f>
        <v>8.0876157515475331</v>
      </c>
      <c r="D12" s="32">
        <v>0.1</v>
      </c>
      <c r="E12" s="31">
        <f t="shared" si="0"/>
        <v>0.80876157515475333</v>
      </c>
      <c r="F12" s="31">
        <f>AVERAGEIF('Nilai Maturitas'!$C:$C, 'Overview tanpa KPI'!F2, 'Nilai Maturitas'!$D:$D)</f>
        <v>8.0105960062087505</v>
      </c>
      <c r="G12" s="32">
        <v>0.1</v>
      </c>
      <c r="H12" s="33">
        <f t="shared" si="1"/>
        <v>0.80105960062087511</v>
      </c>
      <c r="I12" s="31">
        <f>AVERAGEIF('Nilai Maturitas'!$C:$C, 'Overview tanpa KPI'!I2, 'Nilai Maturitas'!$D:$D)</f>
        <v>9.1021211338286516</v>
      </c>
      <c r="J12" s="32">
        <v>0.1</v>
      </c>
      <c r="K12" s="33">
        <f t="shared" si="2"/>
        <v>0.91021211338286523</v>
      </c>
      <c r="L12" s="31">
        <f>AVERAGEIF('Nilai Maturitas'!$C:$C, 'Overview tanpa KPI'!L2, 'Nilai Maturitas'!$D:$D)</f>
        <v>8.3476712810005296</v>
      </c>
      <c r="M12" s="32">
        <v>0.1</v>
      </c>
      <c r="N12" s="33">
        <f t="shared" si="3"/>
        <v>0.83476712810005305</v>
      </c>
    </row>
    <row r="13" spans="1:18">
      <c r="A13" s="29">
        <v>10</v>
      </c>
      <c r="B13" s="30" t="s">
        <v>194</v>
      </c>
      <c r="C13" s="31">
        <f>AVERAGEIF('Maturitas Dashboard'!$C:$C, 'Overview tanpa KPI'!C$2, 'Maturitas Dashboard'!$D:$D)</f>
        <v>8.7083333333333339</v>
      </c>
      <c r="D13" s="32">
        <v>0.1</v>
      </c>
      <c r="E13" s="31">
        <f t="shared" si="0"/>
        <v>0.87083333333333346</v>
      </c>
      <c r="F13" s="31">
        <f>AVERAGEIF('Maturitas Dashboard'!$C:$C, 'Overview tanpa KPI'!F$2, 'Maturitas Dashboard'!$D:$D)</f>
        <v>8.5416666666666661</v>
      </c>
      <c r="G13" s="32">
        <v>0.1</v>
      </c>
      <c r="H13" s="33">
        <f t="shared" si="1"/>
        <v>0.85416666666666663</v>
      </c>
      <c r="I13" s="31">
        <f>AVERAGEIF('Maturitas Dashboard'!$C:$C, 'Overview tanpa KPI'!I$2, 'Maturitas Dashboard'!$D:$D)</f>
        <v>8.7083333333333339</v>
      </c>
      <c r="J13" s="32">
        <v>0.1</v>
      </c>
      <c r="K13" s="33">
        <f t="shared" si="2"/>
        <v>0.87083333333333346</v>
      </c>
      <c r="L13" s="31">
        <f>AVERAGEIF('Maturitas Dashboard'!$C:$C, 'Overview tanpa KPI'!L$2, 'Maturitas Dashboard'!$D:$D)</f>
        <v>8.5833333333333339</v>
      </c>
      <c r="M13" s="32">
        <v>0.1</v>
      </c>
      <c r="N13" s="33">
        <f t="shared" si="3"/>
        <v>0.85833333333333339</v>
      </c>
    </row>
    <row r="14" spans="1:18">
      <c r="A14" s="35">
        <v>11</v>
      </c>
      <c r="B14" s="36" t="s">
        <v>195</v>
      </c>
      <c r="C14" s="37">
        <f>AVERAGEIF('Penilaian Resiko'!$C:$C, 'Overview tanpa KPI'!C$2, 'Penilaian Resiko'!$D:$D)</f>
        <v>6.0846666666666671</v>
      </c>
      <c r="D14" s="38">
        <v>0.1</v>
      </c>
      <c r="E14" s="37">
        <f t="shared" si="0"/>
        <v>0.60846666666666671</v>
      </c>
      <c r="F14" s="37">
        <f>AVERAGEIF('Penilaian Resiko'!$C:$C, 'Overview tanpa KPI'!F$2, 'Penilaian Resiko'!$D:$D)</f>
        <v>6.0491666666666672</v>
      </c>
      <c r="G14" s="38">
        <v>0.1</v>
      </c>
      <c r="H14" s="39">
        <f t="shared" si="1"/>
        <v>0.60491666666666677</v>
      </c>
      <c r="I14" s="37">
        <f>AVERAGEIF('Penilaian Resiko'!$C:$C, 'Overview tanpa KPI'!I$2, 'Penilaian Resiko'!$D:$D)</f>
        <v>6.3056666666666672</v>
      </c>
      <c r="J14" s="38">
        <v>0.1</v>
      </c>
      <c r="K14" s="39">
        <f t="shared" si="2"/>
        <v>0.63056666666666672</v>
      </c>
      <c r="L14" s="37">
        <f>AVERAGEIF('Penilaian Resiko'!$C:$C, 'Overview tanpa KPI'!L$2, 'Penilaian Resiko'!$D:$D)</f>
        <v>6.2488333333333337</v>
      </c>
      <c r="M14" s="38">
        <v>0.1</v>
      </c>
      <c r="N14" s="39">
        <f t="shared" si="3"/>
        <v>0.62488333333333346</v>
      </c>
    </row>
    <row r="15" spans="1:18">
      <c r="A15" s="40"/>
      <c r="B15" s="40"/>
      <c r="C15" s="44" t="s">
        <v>196</v>
      </c>
      <c r="D15" s="45"/>
      <c r="E15" s="41">
        <f>SUM(E4:E14)</f>
        <v>7.6557377262426796</v>
      </c>
      <c r="F15" s="44" t="s">
        <v>196</v>
      </c>
      <c r="G15" s="45"/>
      <c r="H15" s="41">
        <f>SUM(H4:H14)</f>
        <v>7.686902543676787</v>
      </c>
      <c r="I15" s="44" t="s">
        <v>196</v>
      </c>
      <c r="J15" s="45"/>
      <c r="K15" s="41">
        <f>SUM(K4:K14)</f>
        <v>7.8514802886346047</v>
      </c>
      <c r="L15" s="44" t="s">
        <v>196</v>
      </c>
      <c r="M15" s="45"/>
      <c r="N15" s="41">
        <f>SUM(N4:N14)</f>
        <v>7.6166719670394745</v>
      </c>
    </row>
  </sheetData>
  <mergeCells count="10">
    <mergeCell ref="L2:N2"/>
    <mergeCell ref="L15:M15"/>
    <mergeCell ref="A2:A3"/>
    <mergeCell ref="B2:B3"/>
    <mergeCell ref="C2:E2"/>
    <mergeCell ref="F2:H2"/>
    <mergeCell ref="I2:K2"/>
    <mergeCell ref="C15:D15"/>
    <mergeCell ref="F15:G15"/>
    <mergeCell ref="I15:J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0241-7FAC-460A-8133-4462D137C0DC}">
  <dimension ref="A2:U16"/>
  <sheetViews>
    <sheetView tabSelected="1" workbookViewId="0">
      <selection activeCell="L8" sqref="L8"/>
    </sheetView>
  </sheetViews>
  <sheetFormatPr defaultRowHeight="15"/>
  <cols>
    <col min="1" max="1" width="4" bestFit="1" customWidth="1"/>
    <col min="2" max="2" width="27.140625" bestFit="1" customWidth="1"/>
    <col min="3" max="14" width="12" customWidth="1"/>
  </cols>
  <sheetData>
    <row r="2" spans="1:21">
      <c r="A2" s="46" t="s">
        <v>181</v>
      </c>
      <c r="B2" s="46" t="s">
        <v>182</v>
      </c>
      <c r="C2" s="47" t="s">
        <v>31</v>
      </c>
      <c r="D2" s="47"/>
      <c r="E2" s="47"/>
      <c r="F2" s="47" t="s">
        <v>34</v>
      </c>
      <c r="G2" s="47"/>
      <c r="H2" s="47"/>
      <c r="I2" s="47" t="s">
        <v>37</v>
      </c>
      <c r="J2" s="47"/>
      <c r="K2" s="47"/>
      <c r="L2" s="47" t="s">
        <v>24</v>
      </c>
      <c r="M2" s="47"/>
      <c r="N2" s="47"/>
    </row>
    <row r="3" spans="1:21">
      <c r="A3" s="46"/>
      <c r="B3" s="46"/>
      <c r="C3" s="28" t="s">
        <v>183</v>
      </c>
      <c r="D3" s="28" t="s">
        <v>184</v>
      </c>
      <c r="E3" s="28" t="s">
        <v>185</v>
      </c>
      <c r="F3" s="28" t="s">
        <v>183</v>
      </c>
      <c r="G3" s="28" t="s">
        <v>184</v>
      </c>
      <c r="H3" s="28" t="s">
        <v>185</v>
      </c>
      <c r="I3" s="28" t="s">
        <v>183</v>
      </c>
      <c r="J3" s="28" t="s">
        <v>184</v>
      </c>
      <c r="K3" s="28" t="s">
        <v>185</v>
      </c>
      <c r="L3" s="28" t="s">
        <v>183</v>
      </c>
      <c r="M3" s="28" t="s">
        <v>184</v>
      </c>
      <c r="N3" s="28" t="s">
        <v>185</v>
      </c>
    </row>
    <row r="4" spans="1:21">
      <c r="A4" s="29">
        <v>1</v>
      </c>
      <c r="B4" s="30" t="s">
        <v>186</v>
      </c>
      <c r="C4" s="31">
        <f>IFERROR(COUNTIFS(STR!$V:$V, 'Overview KPI'!C$2, STR!$X:$X, "TRUE")/COUNTIFS(STR!$V:$V, 'Overview KPI'!C2), 0)</f>
        <v>1</v>
      </c>
      <c r="D4" s="42">
        <v>0.05</v>
      </c>
      <c r="E4" s="31">
        <f>D4*C4</f>
        <v>0.05</v>
      </c>
      <c r="F4" s="31">
        <f>IFERROR(COUNTIFS(STR!$V:$V, 'Overview KPI'!F$2, STR!$X:$X, "TRUE")/COUNTIFS(STR!$V:$V, 'Overview KPI'!F2), 0)</f>
        <v>1</v>
      </c>
      <c r="G4" s="42">
        <v>0.05</v>
      </c>
      <c r="H4" s="33">
        <f>G4*F4</f>
        <v>0.05</v>
      </c>
      <c r="I4" s="31">
        <f>IFERROR(COUNTIFS(STR!$V:$V, 'Overview KPI'!I$2, STR!$X:$X, "TRUE")/COUNTIFS(STR!$V:$V, 'Overview KPI'!I2), 0)</f>
        <v>1</v>
      </c>
      <c r="J4" s="42">
        <v>0.05</v>
      </c>
      <c r="K4" s="33">
        <f>J4*I4</f>
        <v>0.05</v>
      </c>
      <c r="L4" s="31">
        <f>IFERROR(COUNTIFS(STR!$V:$V, 'Overview KPI'!L$2, STR!$X:$X, "TRUE")/COUNTIFS(STR!$V:$V, 'Overview KPI'!L2), 0)</f>
        <v>1</v>
      </c>
      <c r="M4" s="42">
        <v>0.05</v>
      </c>
      <c r="N4" s="33">
        <f>M4*L4</f>
        <v>0.05</v>
      </c>
    </row>
    <row r="5" spans="1:21">
      <c r="A5" s="29">
        <v>2</v>
      </c>
      <c r="B5" s="30" t="s">
        <v>198</v>
      </c>
      <c r="C5" s="31">
        <f>IFERROR(AVERAGEIF(STR!$V:$V, 'Overview KPI'!C2, STR!$Y:$Y), 0)/4</f>
        <v>0.75189732142857146</v>
      </c>
      <c r="D5" s="42">
        <v>0.15</v>
      </c>
      <c r="E5" s="31">
        <f>D5*C5</f>
        <v>0.11278459821428571</v>
      </c>
      <c r="F5" s="31">
        <f>IFERROR(AVERAGEIF(STR!$V:$V, 'Overview KPI'!F2, STR!$Y:$Y), 0)/4</f>
        <v>0.62243303571428565</v>
      </c>
      <c r="G5" s="42">
        <v>0.15</v>
      </c>
      <c r="H5" s="31">
        <f>G5*F5</f>
        <v>9.3364955357142843E-2</v>
      </c>
      <c r="I5" s="31">
        <f>IFERROR(AVERAGEIF(STR!$V:$V, 'Overview KPI'!I2, STR!$Y:$Y), 0)/4</f>
        <v>0.76498325892857133</v>
      </c>
      <c r="J5" s="42">
        <v>0.15</v>
      </c>
      <c r="K5" s="31">
        <f>J5*I5</f>
        <v>0.11474748883928569</v>
      </c>
      <c r="L5" s="31">
        <f>IFERROR(AVERAGEIF(STR!$V:$V, 'Overview KPI'!L2, STR!$Y:$Y), 0)/4</f>
        <v>0.74294642857142867</v>
      </c>
      <c r="M5" s="42">
        <v>0.15</v>
      </c>
      <c r="N5" s="31">
        <f>M5*L5</f>
        <v>0.1114419642857143</v>
      </c>
    </row>
    <row r="6" spans="1:21">
      <c r="A6" s="29">
        <v>2</v>
      </c>
      <c r="B6" s="30" t="s">
        <v>123</v>
      </c>
      <c r="C6" s="31">
        <f>1-AVERAGEIF('Bad Data'!$C:$C, 'Overview KPI'!C$2, 'Bad Data'!$D:$D)</f>
        <v>0.99831166666666671</v>
      </c>
      <c r="D6" s="42">
        <v>0.1</v>
      </c>
      <c r="E6" s="31">
        <f t="shared" ref="E6:E15" si="0">D6*C6</f>
        <v>9.9831166666666679E-2</v>
      </c>
      <c r="F6" s="31">
        <f>1-AVERAGEIF('Bad Data'!$C:$C, 'Overview KPI'!F$2, 'Bad Data'!$D:$D)</f>
        <v>0.9977516666666667</v>
      </c>
      <c r="G6" s="42">
        <v>0.1</v>
      </c>
      <c r="H6" s="33">
        <f t="shared" ref="H6:H15" si="1">G6*F6</f>
        <v>9.9775166666666679E-2</v>
      </c>
      <c r="I6" s="31">
        <f>1-AVERAGEIF('Bad Data'!$C:$C, 'Overview KPI'!I$2, 'Bad Data'!$D:$D)</f>
        <v>0.99812333333333336</v>
      </c>
      <c r="J6" s="42">
        <v>0.1</v>
      </c>
      <c r="K6" s="33">
        <f t="shared" ref="K6:K15" si="2">J6*I6</f>
        <v>9.9812333333333336E-2</v>
      </c>
      <c r="L6" s="31">
        <f>1-AVERAGEIF('Bad Data'!$C:$C, 'Overview KPI'!L$2, 'Bad Data'!$D:$D)</f>
        <v>0.99873000000000001</v>
      </c>
      <c r="M6" s="42">
        <v>0.1</v>
      </c>
      <c r="N6" s="33">
        <f t="shared" ref="N6:N15" si="3">M6*L6</f>
        <v>9.9873000000000003E-2</v>
      </c>
    </row>
    <row r="7" spans="1:21">
      <c r="A7" s="29">
        <v>3</v>
      </c>
      <c r="B7" s="30" t="s">
        <v>124</v>
      </c>
      <c r="C7" s="31">
        <f>AVERAGEIF('Pengkinian Data'!$C:$C, 'Overview KPI'!C$2, 'Pengkinian Data'!$D:$D)</f>
        <v>0.99780000000000013</v>
      </c>
      <c r="D7" s="42">
        <v>0.1</v>
      </c>
      <c r="E7" s="31">
        <f t="shared" si="0"/>
        <v>9.9780000000000021E-2</v>
      </c>
      <c r="F7" s="31">
        <f>AVERAGEIF('Pengkinian Data'!$C:$C, 'Overview KPI'!F$2, 'Pengkinian Data'!$D:$D)</f>
        <v>0.99795</v>
      </c>
      <c r="G7" s="42">
        <v>0.1</v>
      </c>
      <c r="H7" s="33">
        <f t="shared" si="1"/>
        <v>9.9795000000000009E-2</v>
      </c>
      <c r="I7" s="31">
        <f>AVERAGEIF('Pengkinian Data'!$C:$C, 'Overview KPI'!I$2, 'Pengkinian Data'!$D:$D)</f>
        <v>0.99891666666666667</v>
      </c>
      <c r="J7" s="42">
        <v>0.1</v>
      </c>
      <c r="K7" s="33">
        <f t="shared" si="2"/>
        <v>9.989166666666667E-2</v>
      </c>
      <c r="L7" s="31">
        <f>AVERAGEIF('Pengkinian Data'!$C:$C, 'Overview KPI'!L$2, 'Pengkinian Data'!$D:$D)</f>
        <v>0.9996666666666667</v>
      </c>
      <c r="M7" s="42">
        <v>0.1</v>
      </c>
      <c r="N7" s="33">
        <f t="shared" si="3"/>
        <v>9.9966666666666676E-2</v>
      </c>
      <c r="U7" t="s">
        <v>187</v>
      </c>
    </row>
    <row r="8" spans="1:21">
      <c r="A8" s="29">
        <v>4</v>
      </c>
      <c r="B8" s="30" t="s">
        <v>188</v>
      </c>
      <c r="C8" s="31" cm="1">
        <f t="array" ref="C8">IFERROR(SUMPRODUCT(--('[1]Uji Petik'!$E$3:$E$73&lt;&gt;""), --('[1]Uji Petik'!$C$3:$C$73=C2)) / SUMPRODUCT(--('[1]Uji Petik'!$C$3:$C$73=C2)), 0)</f>
        <v>0</v>
      </c>
      <c r="D8" s="42">
        <v>7.4999999999999997E-2</v>
      </c>
      <c r="E8" s="31">
        <f t="shared" si="0"/>
        <v>0</v>
      </c>
      <c r="F8" s="31" cm="1">
        <f t="array" ref="F8">IFERROR(SUMPRODUCT(--('[1]Uji Petik'!$E$3:$E$73&lt;&gt;""), --('[1]Uji Petik'!$C$3:$C$73=F3)) / SUMPRODUCT(--('[1]Uji Petik'!$C$3:$C$73=F3)), 0)</f>
        <v>0</v>
      </c>
      <c r="G8" s="42">
        <v>7.4999999999999997E-2</v>
      </c>
      <c r="H8" s="33">
        <f t="shared" si="1"/>
        <v>0</v>
      </c>
      <c r="I8" s="31" cm="1">
        <f t="array" ref="I8">IFERROR(SUMPRODUCT(--('[1]Uji Petik'!$E$3:$E$73&lt;&gt;""), --('[1]Uji Petik'!$C$3:$C$73=I3)) / SUMPRODUCT(--('[1]Uji Petik'!$C$3:$C$73=I3)), 0)</f>
        <v>0</v>
      </c>
      <c r="J8" s="42">
        <v>7.4999999999999997E-2</v>
      </c>
      <c r="K8" s="33">
        <f t="shared" si="2"/>
        <v>0</v>
      </c>
      <c r="L8" s="31" cm="1">
        <f t="array" ref="L8">IFERROR(SUMPRODUCT(--('[1]Uji Petik'!$E$3:$E$73&lt;&gt;""), --('[1]Uji Petik'!$C$3:$C$73=L3)) / SUMPRODUCT(--('[1]Uji Petik'!$C$3:$C$73=L3)), 0)</f>
        <v>0</v>
      </c>
      <c r="M8" s="42">
        <v>7.4999999999999997E-2</v>
      </c>
      <c r="N8" s="33">
        <f t="shared" si="3"/>
        <v>0</v>
      </c>
    </row>
    <row r="9" spans="1:21">
      <c r="A9" s="29">
        <v>5</v>
      </c>
      <c r="B9" s="30" t="s">
        <v>189</v>
      </c>
      <c r="C9" s="34" cm="1">
        <f t="array" ref="C9">IFERROR(AVERAGE(IF([2]Sosialisasi!$C$1:$C$10000=C2, [2]Sosialisasi!$D$1:$D$10000)), 0)</f>
        <v>0</v>
      </c>
      <c r="D9" s="42">
        <v>7.4999999999999997E-2</v>
      </c>
      <c r="E9" s="31">
        <f t="shared" si="0"/>
        <v>0</v>
      </c>
      <c r="F9" s="34" cm="1">
        <f t="array" ref="F9">IFERROR(AVERAGE(IF([2]Sosialisasi!$C$1:$C$10000=F2, [2]Sosialisasi!$D$1:$D$10000)), 0)</f>
        <v>0.66666666666666663</v>
      </c>
      <c r="G9" s="42">
        <v>7.4999999999999997E-2</v>
      </c>
      <c r="H9" s="33">
        <f t="shared" si="1"/>
        <v>4.9999999999999996E-2</v>
      </c>
      <c r="I9" s="34" cm="1">
        <f t="array" ref="I9">IFERROR(AVERAGE(IF([2]Sosialisasi!$C$1:$C$10000=I2, [2]Sosialisasi!$D$1:$D$10000)), 0)</f>
        <v>0.5</v>
      </c>
      <c r="J9" s="42">
        <v>7.4999999999999997E-2</v>
      </c>
      <c r="K9" s="33">
        <f t="shared" si="2"/>
        <v>3.7499999999999999E-2</v>
      </c>
      <c r="L9" s="34" cm="1">
        <f t="array" ref="L9">IFERROR(AVERAGE(IF([2]Sosialisasi!$C$1:$C$10000=L2, [2]Sosialisasi!$D$1:$D$10000)), 0)</f>
        <v>0.5</v>
      </c>
      <c r="M9" s="42">
        <v>7.4999999999999997E-2</v>
      </c>
      <c r="N9" s="33">
        <f t="shared" si="3"/>
        <v>3.7499999999999999E-2</v>
      </c>
    </row>
    <row r="10" spans="1:21">
      <c r="A10" s="29">
        <v>6</v>
      </c>
      <c r="B10" s="30" t="s">
        <v>190</v>
      </c>
      <c r="C10" s="31">
        <f>AVERAGEIF('EDD PEP PPATK'!$C:$C, 'Overview KPI'!C$2, 'EDD PEP PPATK'!$D:$D)</f>
        <v>0.98043985661356547</v>
      </c>
      <c r="D10" s="42">
        <v>0.1</v>
      </c>
      <c r="E10" s="31">
        <f t="shared" si="0"/>
        <v>9.8043985661356553E-2</v>
      </c>
      <c r="F10" s="31">
        <f>AVERAGEIF('EDD PEP PPATK'!$C:$C, 'Overview KPI'!F$2, 'EDD PEP PPATK'!$D:$D)</f>
        <v>0.99227157743154171</v>
      </c>
      <c r="G10" s="42">
        <v>0.1</v>
      </c>
      <c r="H10" s="33">
        <f t="shared" si="1"/>
        <v>9.9227157743154173E-2</v>
      </c>
      <c r="I10" s="31">
        <f>AVERAGEIF('EDD PEP PPATK'!$C:$C, 'Overview KPI'!I$2, 'EDD PEP PPATK'!$D:$D)</f>
        <v>0.99253393665158374</v>
      </c>
      <c r="J10" s="42">
        <v>0.1</v>
      </c>
      <c r="K10" s="33">
        <f t="shared" si="2"/>
        <v>9.9253393665158382E-2</v>
      </c>
      <c r="L10" s="31">
        <f>AVERAGEIF('EDD PEP PPATK'!$C:$C, 'Overview KPI'!L$2, 'EDD PEP PPATK'!$D:$D)</f>
        <v>0.97114232189420158</v>
      </c>
      <c r="M10" s="42">
        <v>0.1</v>
      </c>
      <c r="N10" s="33">
        <f t="shared" si="3"/>
        <v>9.7114232189420169E-2</v>
      </c>
    </row>
    <row r="11" spans="1:21">
      <c r="A11" s="29">
        <v>7</v>
      </c>
      <c r="B11" s="30" t="s">
        <v>191</v>
      </c>
      <c r="C11" s="31" cm="1">
        <f t="array" ref="C11">IF(IFERROR(AVERAGE(IF('[2]Sheet2 (2)'!$C$1:$C$10000=C$2, '[2]Sheet2 (2)'!$D$1:$D$10000)), 0)&gt;0.9, 1, IFERROR(AVERAGE(IF('[2]Sheet2 (2)'!$C$1:$C$10000=C$2, '[2]Sheet2 (2)'!$D$1:$D$10000)), 0))</f>
        <v>1</v>
      </c>
      <c r="D11" s="42">
        <v>2.5000000000000001E-2</v>
      </c>
      <c r="E11" s="31">
        <f t="shared" si="0"/>
        <v>2.5000000000000001E-2</v>
      </c>
      <c r="F11" s="31" cm="1">
        <f t="array" ref="F11">IF(IFERROR(AVERAGE(IF('[2]Sheet2 (2)'!$C$1:$C$10000=F$2, '[2]Sheet2 (2)'!$D$1:$D$10000)), 0)&gt;0.9, 1, IFERROR(AVERAGE(IF('[2]Sheet2 (2)'!$C$1:$C$10000=F$2, '[2]Sheet2 (2)'!$D$1:$D$10000)), 0))</f>
        <v>0.82593985792180169</v>
      </c>
      <c r="G11" s="42">
        <v>2.5000000000000001E-2</v>
      </c>
      <c r="H11" s="33">
        <f t="shared" si="1"/>
        <v>2.0648496448045044E-2</v>
      </c>
      <c r="I11" s="31" cm="1">
        <f t="array" ref="I11">IF(IFERROR(AVERAGE(IF('[2]Sheet2 (2)'!$C$1:$C$10000=I$2, '[2]Sheet2 (2)'!$D$1:$D$10000)), 0)&gt;0.9, 1, IFERROR(AVERAGE(IF('[2]Sheet2 (2)'!$C$1:$C$10000=I$2, '[2]Sheet2 (2)'!$D$1:$D$10000)), 0))</f>
        <v>1</v>
      </c>
      <c r="J11" s="42">
        <v>2.5000000000000001E-2</v>
      </c>
      <c r="K11" s="33">
        <f t="shared" si="2"/>
        <v>2.5000000000000001E-2</v>
      </c>
      <c r="L11" s="31" cm="1">
        <f t="array" ref="L11">IF(IFERROR(AVERAGE(IF('[2]Sheet2 (2)'!$C$1:$C$10000=L$2, '[2]Sheet2 (2)'!$D$1:$D$10000)), 0)&gt;0.9, 1, IFERROR(AVERAGE(IF('[2]Sheet2 (2)'!$C$1:$C$10000=L$2, '[2]Sheet2 (2)'!$D$1:$D$10000)), 0))</f>
        <v>0</v>
      </c>
      <c r="M11" s="42">
        <v>2.5000000000000001E-2</v>
      </c>
      <c r="N11" s="33">
        <f t="shared" si="3"/>
        <v>0</v>
      </c>
    </row>
    <row r="12" spans="1:21">
      <c r="A12" s="29">
        <v>8</v>
      </c>
      <c r="B12" s="30" t="s">
        <v>192</v>
      </c>
      <c r="C12" s="31" cm="1">
        <f t="array" ref="C12">IF(IFERROR(AVERAGE(IF('[2]Sheet2 (3)'!$C$1:$C$10000=C2, '[2]Sheet2 (3)'!$D$1:$D$10000)), 0)&gt;90, 1, IFERROR(AVERAGE(IF('[2]Sheet2 (3)'!$C$1:$C$10000=C2, '[2]Sheet2 (3)'!$D$1:$D$10000)), 0)/90)</f>
        <v>1</v>
      </c>
      <c r="D12" s="42">
        <v>2.5000000000000001E-2</v>
      </c>
      <c r="E12" s="31">
        <f t="shared" si="0"/>
        <v>2.5000000000000001E-2</v>
      </c>
      <c r="F12" s="31" cm="1">
        <f t="array" ref="F12">IF(IFERROR(AVERAGE(IF('[2]Sheet2 (3)'!$C$1:$C$10000=F2, '[2]Sheet2 (3)'!$D$1:$D$10000)), 0)&gt;90, 1, IFERROR(AVERAGE(IF('[2]Sheet2 (3)'!$C$1:$C$10000=F2, '[2]Sheet2 (3)'!$D$1:$D$10000)), 0)/90)</f>
        <v>1</v>
      </c>
      <c r="G12" s="42">
        <v>2.5000000000000001E-2</v>
      </c>
      <c r="H12" s="33">
        <f t="shared" si="1"/>
        <v>2.5000000000000001E-2</v>
      </c>
      <c r="I12" s="31" cm="1">
        <f t="array" ref="I12">IF(IFERROR(AVERAGE(IF('[2]Sheet2 (3)'!$C$1:$C$10000=I2, '[2]Sheet2 (3)'!$D$1:$D$10000)), 0)&gt;90, 1, IFERROR(AVERAGE(IF('[2]Sheet2 (3)'!$C$1:$C$10000=I2, '[2]Sheet2 (3)'!$D$1:$D$10000)), 0)/90)</f>
        <v>1</v>
      </c>
      <c r="J12" s="42">
        <v>2.5000000000000001E-2</v>
      </c>
      <c r="K12" s="33">
        <f t="shared" si="2"/>
        <v>2.5000000000000001E-2</v>
      </c>
      <c r="L12" s="31" cm="1">
        <f t="array" ref="L12">IF(IFERROR(AVERAGE(IF('[2]Sheet2 (3)'!$C$1:$C$10000=L2, '[2]Sheet2 (3)'!$D$1:$D$10000)), 0)&gt;90, 1, IFERROR(AVERAGE(IF('[2]Sheet2 (3)'!$C$1:$C$10000=L2, '[2]Sheet2 (3)'!$D$1:$D$10000)), 0)/90)</f>
        <v>1</v>
      </c>
      <c r="M12" s="42">
        <v>2.5000000000000001E-2</v>
      </c>
      <c r="N12" s="33">
        <f t="shared" si="3"/>
        <v>2.5000000000000001E-2</v>
      </c>
    </row>
    <row r="13" spans="1:21">
      <c r="A13" s="29">
        <v>9</v>
      </c>
      <c r="B13" s="30" t="s">
        <v>193</v>
      </c>
      <c r="C13" s="31">
        <f>IF(AVERAGEIF('Nilai Maturitas'!$C:$C, 'Overview KPI'!C2, 'Nilai Maturitas'!$D:$D) &gt; 8, 110%, AVERAGEIF('Nilai Maturitas'!$C:$C, 'Overview KPI'!C2, 'Nilai Maturitas'!$D:$D)/8*100%)</f>
        <v>1.1000000000000001</v>
      </c>
      <c r="D13" s="42">
        <v>0.1</v>
      </c>
      <c r="E13" s="31">
        <f t="shared" si="0"/>
        <v>0.11000000000000001</v>
      </c>
      <c r="F13" s="31">
        <f>IF(AVERAGEIF('Nilai Maturitas'!$C:$C, 'Overview KPI'!F2, 'Nilai Maturitas'!$D:$D) &gt; 8, 110%, AVERAGEIF('Nilai Maturitas'!$C:$C, 'Overview KPI'!F2, 'Nilai Maturitas'!$D:$D)/8*100%)</f>
        <v>1.1000000000000001</v>
      </c>
      <c r="G13" s="42">
        <v>0.1</v>
      </c>
      <c r="H13" s="33">
        <f t="shared" si="1"/>
        <v>0.11000000000000001</v>
      </c>
      <c r="I13" s="31">
        <f>IF(AVERAGEIF('Nilai Maturitas'!$C:$C, 'Overview KPI'!I2, 'Nilai Maturitas'!$D:$D) &gt; 8, 110%, AVERAGEIF('Nilai Maturitas'!$C:$C, 'Overview KPI'!I2, 'Nilai Maturitas'!$D:$D)/8*100%)</f>
        <v>1.1000000000000001</v>
      </c>
      <c r="J13" s="42">
        <v>0.1</v>
      </c>
      <c r="K13" s="33">
        <f t="shared" si="2"/>
        <v>0.11000000000000001</v>
      </c>
      <c r="L13" s="31">
        <f>IF(AVERAGEIF('Nilai Maturitas'!$C:$C, 'Overview KPI'!L2, 'Nilai Maturitas'!$D:$D) &gt; 8, 110%, AVERAGEIF('Nilai Maturitas'!$C:$C, 'Overview KPI'!L2, 'Nilai Maturitas'!$D:$D)/8*100%)</f>
        <v>1.1000000000000001</v>
      </c>
      <c r="M13" s="42">
        <v>0.1</v>
      </c>
      <c r="N13" s="33">
        <f t="shared" si="3"/>
        <v>0.11000000000000001</v>
      </c>
    </row>
    <row r="14" spans="1:21">
      <c r="A14" s="29">
        <v>10</v>
      </c>
      <c r="B14" s="30" t="s">
        <v>194</v>
      </c>
      <c r="C14" s="31">
        <f>IF(AVERAGEIF('Maturitas Dashboard'!$C:$C, 'Overview KPI'!C$2, 'Maturitas Dashboard'!$D:$D) &gt; 8, 110%, AVERAGEIF('Maturitas Dashboard'!$C:$C, 'Overview KPI'!C$2, 'Maturitas Dashboard'!$D:$D)/8*100%)</f>
        <v>1.1000000000000001</v>
      </c>
      <c r="D14" s="42">
        <v>0.1</v>
      </c>
      <c r="E14" s="31">
        <f t="shared" si="0"/>
        <v>0.11000000000000001</v>
      </c>
      <c r="F14" s="31">
        <f>IF(AVERAGEIF('Maturitas Dashboard'!$C:$C, 'Overview KPI'!F$2, 'Maturitas Dashboard'!$D:$D) &gt; 8, 110%, AVERAGEIF('Maturitas Dashboard'!$C:$C, 'Overview KPI'!F$2, 'Maturitas Dashboard'!$D:$D)/8*100%)</f>
        <v>1.1000000000000001</v>
      </c>
      <c r="G14" s="42">
        <v>0.1</v>
      </c>
      <c r="H14" s="33">
        <f t="shared" si="1"/>
        <v>0.11000000000000001</v>
      </c>
      <c r="I14" s="31">
        <f>IF(AVERAGEIF('Maturitas Dashboard'!$C:$C, 'Overview KPI'!I$2, 'Maturitas Dashboard'!$D:$D) &gt; 8, 110%, AVERAGEIF('Maturitas Dashboard'!$C:$C, 'Overview KPI'!I$2, 'Maturitas Dashboard'!$D:$D)/8*100%)</f>
        <v>1.1000000000000001</v>
      </c>
      <c r="J14" s="42">
        <v>0.1</v>
      </c>
      <c r="K14" s="33">
        <f t="shared" si="2"/>
        <v>0.11000000000000001</v>
      </c>
      <c r="L14" s="31">
        <f>IF(AVERAGEIF('Maturitas Dashboard'!$C:$C, 'Overview KPI'!L$2, 'Maturitas Dashboard'!$D:$D) &gt; 8, 110%, AVERAGEIF('Maturitas Dashboard'!$C:$C, 'Overview KPI'!L$2, 'Maturitas Dashboard'!$D:$D)/8*100%)</f>
        <v>1.1000000000000001</v>
      </c>
      <c r="M14" s="42">
        <v>0.1</v>
      </c>
      <c r="N14" s="33">
        <f t="shared" si="3"/>
        <v>0.11000000000000001</v>
      </c>
    </row>
    <row r="15" spans="1:21">
      <c r="A15" s="35">
        <v>11</v>
      </c>
      <c r="B15" s="36" t="s">
        <v>195</v>
      </c>
      <c r="C15" s="37">
        <f>IF(AVERAGEIF('Penilaian Resiko'!$C:$C, 'Overview KPI'!C$2, 'Penilaian Resiko'!$D:$D) &lt; 5.8, 110%, IF(AVERAGEIF('Penilaian Resiko'!$C:$C, 'Overview KPI'!C$2, 'Penilaian Resiko'!$D:$D) &lt;7.4, 3/4*100%, 3/5*100%))</f>
        <v>0.75</v>
      </c>
      <c r="D15" s="43">
        <v>0.1</v>
      </c>
      <c r="E15" s="37">
        <f t="shared" si="0"/>
        <v>7.5000000000000011E-2</v>
      </c>
      <c r="F15" s="37">
        <f>IF(AVERAGEIF('Penilaian Resiko'!$C:$C, 'Overview KPI'!F$2, 'Penilaian Resiko'!$D:$D) &lt; 5.8, 110%, IF(AVERAGEIF('Penilaian Resiko'!$C:$C, 'Overview KPI'!F$2, 'Penilaian Resiko'!$D:$D) &lt;7.4, 3/4*100%, 3/5*100%))</f>
        <v>0.75</v>
      </c>
      <c r="G15" s="43">
        <v>0.1</v>
      </c>
      <c r="H15" s="39">
        <f t="shared" si="1"/>
        <v>7.5000000000000011E-2</v>
      </c>
      <c r="I15" s="37">
        <f>IF(AVERAGEIF('Penilaian Resiko'!$C:$C, 'Overview KPI'!I$2, 'Penilaian Resiko'!$D:$D) &lt; 5.8, 110%, IF(AVERAGEIF('Penilaian Resiko'!$C:$C, 'Overview KPI'!I$2, 'Penilaian Resiko'!$D:$D) &lt;7.4, 3/4*100%, 3/5*100%))</f>
        <v>0.75</v>
      </c>
      <c r="J15" s="43">
        <v>0.1</v>
      </c>
      <c r="K15" s="39">
        <f t="shared" si="2"/>
        <v>7.5000000000000011E-2</v>
      </c>
      <c r="L15" s="37">
        <f>IF(AVERAGEIF('Penilaian Resiko'!$C:$C, 'Overview KPI'!L$2, 'Penilaian Resiko'!$D:$D) &lt; 5.8, 110%, IF(AVERAGEIF('Penilaian Resiko'!$C:$C, 'Overview KPI'!L$2, 'Penilaian Resiko'!$D:$D) &lt;7.4, 3/4*100%, 3/5*100%))</f>
        <v>0.75</v>
      </c>
      <c r="M15" s="43">
        <v>0.1</v>
      </c>
      <c r="N15" s="39">
        <f t="shared" si="3"/>
        <v>7.5000000000000011E-2</v>
      </c>
    </row>
    <row r="16" spans="1:21">
      <c r="A16" s="40"/>
      <c r="B16" s="40"/>
      <c r="C16" s="44" t="s">
        <v>196</v>
      </c>
      <c r="D16" s="45"/>
      <c r="E16" s="41">
        <f>SUM(E4:E15)</f>
        <v>0.80543975054230899</v>
      </c>
      <c r="F16" s="44" t="s">
        <v>196</v>
      </c>
      <c r="G16" s="45"/>
      <c r="H16" s="41">
        <f>SUM(H4:H15)</f>
        <v>0.83281077621500876</v>
      </c>
      <c r="I16" s="44" t="s">
        <v>196</v>
      </c>
      <c r="J16" s="45"/>
      <c r="K16" s="41">
        <f>SUM(K4:K15)</f>
        <v>0.84620488250444414</v>
      </c>
      <c r="L16" s="44" t="s">
        <v>196</v>
      </c>
      <c r="M16" s="45"/>
      <c r="N16" s="41">
        <f>SUM(N4:N15)</f>
        <v>0.81589586314180118</v>
      </c>
    </row>
  </sheetData>
  <mergeCells count="10">
    <mergeCell ref="C16:D16"/>
    <mergeCell ref="F16:G16"/>
    <mergeCell ref="I16:J16"/>
    <mergeCell ref="L16:M16"/>
    <mergeCell ref="A2:A3"/>
    <mergeCell ref="B2:B3"/>
    <mergeCell ref="C2:E2"/>
    <mergeCell ref="F2:H2"/>
    <mergeCell ref="I2:K2"/>
    <mergeCell ref="L2:N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2026-10-01T00:09:35Z</dcterms:modified>
  <cp:category/>
  <cp:contentStatus/>
</cp:coreProperties>
</file>